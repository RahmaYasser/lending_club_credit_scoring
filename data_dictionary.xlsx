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lending_club_credit_scoring\"/>
    </mc:Choice>
  </mc:AlternateContent>
  <xr:revisionPtr revIDLastSave="0" documentId="13_ncr:1_{287505A2-7C9F-445F-8380-F7F72076E6FC}" xr6:coauthVersionLast="47" xr6:coauthVersionMax="47" xr10:uidLastSave="{00000000-0000-0000-0000-000000000000}"/>
  <bookViews>
    <workbookView xWindow="-98" yWindow="-98" windowWidth="21795" windowHeight="12975" activeTab="1" xr2:uid="{E942A053-C755-425D-9049-8D107678D16B}"/>
  </bookViews>
  <sheets>
    <sheet name="Columns_description" sheetId="1" r:id="rId1"/>
    <sheet name="profiling_checks" sheetId="5" r:id="rId2"/>
    <sheet name="Business_rules" sheetId="2" r:id="rId3"/>
    <sheet name="Data_quality_issues" sheetId="4" r:id="rId4"/>
    <sheet name="tmp" sheetId="6" r:id="rId5"/>
  </sheets>
  <definedNames>
    <definedName name="_xlnm._FilterDatabase" localSheetId="0" hidden="1">Columns_description!$A$1:$H$152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3" i="1"/>
  <c r="G4" i="1"/>
  <c r="G5" i="1"/>
  <c r="G6" i="1"/>
  <c r="G2" i="1"/>
</calcChain>
</file>

<file path=xl/sharedStrings.xml><?xml version="1.0" encoding="utf-8"?>
<sst xmlns="http://schemas.openxmlformats.org/spreadsheetml/2006/main" count="1225" uniqueCount="443">
  <si>
    <t>Column Name</t>
  </si>
  <si>
    <t>Data Type</t>
  </si>
  <si>
    <t>Description</t>
  </si>
  <si>
    <t>Nullable</t>
  </si>
  <si>
    <t>Constraints</t>
  </si>
  <si>
    <t>Transformation Logic / Derivation</t>
  </si>
  <si>
    <t>STRING</t>
  </si>
  <si>
    <t>Primary Key</t>
  </si>
  <si>
    <t>DECIMAL(10,2)</t>
  </si>
  <si>
    <t>id</t>
  </si>
  <si>
    <t>member_id</t>
  </si>
  <si>
    <t xml:space="preserve"> </t>
  </si>
  <si>
    <t>F</t>
  </si>
  <si>
    <t>T</t>
  </si>
  <si>
    <t>loan_amnt</t>
  </si>
  <si>
    <t>issue_d</t>
  </si>
  <si>
    <t>Ensure numeric</t>
  </si>
  <si>
    <t>funded_amnt</t>
  </si>
  <si>
    <t>term</t>
  </si>
  <si>
    <t>int_rate</t>
  </si>
  <si>
    <t>installment</t>
  </si>
  <si>
    <t>grade</t>
  </si>
  <si>
    <t>sub_grade</t>
  </si>
  <si>
    <t>loan_status</t>
  </si>
  <si>
    <t>purpose</t>
  </si>
  <si>
    <t>emp_title</t>
  </si>
  <si>
    <t>emp_length</t>
  </si>
  <si>
    <t>home_ownership</t>
  </si>
  <si>
    <t>annual_inc</t>
  </si>
  <si>
    <t>Borrower’s annual income</t>
  </si>
  <si>
    <t>addr_state</t>
  </si>
  <si>
    <t>dti</t>
  </si>
  <si>
    <t>fico_range_low</t>
  </si>
  <si>
    <t>fico_range_high</t>
  </si>
  <si>
    <t>revol_util</t>
  </si>
  <si>
    <t>open_acc</t>
  </si>
  <si>
    <t>total_acc</t>
  </si>
  <si>
    <t>delinq_2yrs</t>
  </si>
  <si>
    <t>pub_rec</t>
  </si>
  <si>
    <t>total_pymnt</t>
  </si>
  <si>
    <t>total_rec_prncp</t>
  </si>
  <si>
    <t>total_rec_int</t>
  </si>
  <si>
    <t>recoveries</t>
  </si>
  <si>
    <t>collection_recovery_fee</t>
  </si>
  <si>
    <t>out_prncp</t>
  </si>
  <si>
    <t>last_pymnt_d</t>
  </si>
  <si>
    <t>next_pymnt_d</t>
  </si>
  <si>
    <t>last_credit_pull_d</t>
  </si>
  <si>
    <t>The loan amount requested by the borrower, last snapshot is reflected</t>
  </si>
  <si>
    <t>funded_amnt_inv</t>
  </si>
  <si>
    <t xml:space="preserve">The total amount dedicated to the loan </t>
  </si>
  <si>
    <t>The total amount dedicated to the loan by investors</t>
  </si>
  <si>
    <t xml:space="preserve">Remove the non numeric rows </t>
  </si>
  <si>
    <t>Drop the column</t>
  </si>
  <si>
    <t>verification_status</t>
  </si>
  <si>
    <t>pymnt_plan</t>
  </si>
  <si>
    <t>url</t>
  </si>
  <si>
    <t>desc</t>
  </si>
  <si>
    <t>title</t>
  </si>
  <si>
    <t>zip_code</t>
  </si>
  <si>
    <t>earliest_cr_line</t>
  </si>
  <si>
    <t>inq_last_6mths</t>
  </si>
  <si>
    <t>mths_since_last_delinq</t>
  </si>
  <si>
    <t>mths_since_last_record</t>
  </si>
  <si>
    <t>revol_bal</t>
  </si>
  <si>
    <t>initial_list_status</t>
  </si>
  <si>
    <t>out_prncp_inv</t>
  </si>
  <si>
    <t>total_pymnt_inv</t>
  </si>
  <si>
    <t>total_rec_late_fee</t>
  </si>
  <si>
    <t>last_pymnt_amnt</t>
  </si>
  <si>
    <t>last_fico_range_high</t>
  </si>
  <si>
    <t>last_fico_range_low</t>
  </si>
  <si>
    <t>collections_12_mths_ex_med</t>
  </si>
  <si>
    <t>mths_since_last_major_derog</t>
  </si>
  <si>
    <t>policy_code</t>
  </si>
  <si>
    <t>application_type</t>
  </si>
  <si>
    <t>annual_inc_joint</t>
  </si>
  <si>
    <t>dti_joint</t>
  </si>
  <si>
    <t>verification_status_joint</t>
  </si>
  <si>
    <t>acc_now_delinq</t>
  </si>
  <si>
    <t>tot_coll_amt</t>
  </si>
  <si>
    <t>tot_cur_bal</t>
  </si>
  <si>
    <t>open_acc_6m</t>
  </si>
  <si>
    <t>open_act_il</t>
  </si>
  <si>
    <t>open_il_12m</t>
  </si>
  <si>
    <t>open_il_24m</t>
  </si>
  <si>
    <t>mths_since_rcnt_il</t>
  </si>
  <si>
    <t>total_bal_il</t>
  </si>
  <si>
    <t>il_util</t>
  </si>
  <si>
    <t>open_rv_12m</t>
  </si>
  <si>
    <t>open_rv_24m</t>
  </si>
  <si>
    <t>max_bal_bc</t>
  </si>
  <si>
    <t>all_util</t>
  </si>
  <si>
    <t>total_rev_hi_lim</t>
  </si>
  <si>
    <t>inq_fi</t>
  </si>
  <si>
    <t>total_cu_tl</t>
  </si>
  <si>
    <t>inq_last_12m</t>
  </si>
  <si>
    <t>acc_open_past_24mths</t>
  </si>
  <si>
    <t>avg_cur_bal</t>
  </si>
  <si>
    <t>bc_open_to_buy</t>
  </si>
  <si>
    <t>bc_util</t>
  </si>
  <si>
    <t>chargeoff_within_12_mths</t>
  </si>
  <si>
    <t>delinq_amnt</t>
  </si>
  <si>
    <t>mo_sin_old_il_acct</t>
  </si>
  <si>
    <t>mo_sin_old_rev_tl_op</t>
  </si>
  <si>
    <t>mo_sin_rcnt_rev_tl_op</t>
  </si>
  <si>
    <t>mo_sin_rcnt_tl</t>
  </si>
  <si>
    <t>mort_acc</t>
  </si>
  <si>
    <t>mths_since_recent_bc</t>
  </si>
  <si>
    <t>mths_since_recent_bc_dlq</t>
  </si>
  <si>
    <t>mths_since_recent_inq</t>
  </si>
  <si>
    <t>mths_since_recent_revol_delinq</t>
  </si>
  <si>
    <t>num_accts_ever_120_pd</t>
  </si>
  <si>
    <t>num_actv_bc_tl</t>
  </si>
  <si>
    <t>num_actv_rev_tl</t>
  </si>
  <si>
    <t>num_bc_sats</t>
  </si>
  <si>
    <t>num_bc_tl</t>
  </si>
  <si>
    <t>num_il_tl</t>
  </si>
  <si>
    <t>num_op_rev_tl</t>
  </si>
  <si>
    <t>num_rev_accts</t>
  </si>
  <si>
    <t>num_rev_tl_bal_gt_0</t>
  </si>
  <si>
    <t>num_sats</t>
  </si>
  <si>
    <t>num_tl_120dpd_2m</t>
  </si>
  <si>
    <t>num_tl_30dpd</t>
  </si>
  <si>
    <t>num_tl_90g_dpd_24m</t>
  </si>
  <si>
    <t>num_tl_op_past_12m</t>
  </si>
  <si>
    <t>pct_tl_nvr_dlq</t>
  </si>
  <si>
    <t>percent_bc_gt_75</t>
  </si>
  <si>
    <t>pub_rec_bankruptcies</t>
  </si>
  <si>
    <t>tax_liens</t>
  </si>
  <si>
    <t>tot_hi_cred_lim</t>
  </si>
  <si>
    <t>total_bal_ex_mort</t>
  </si>
  <si>
    <t>total_bc_limit</t>
  </si>
  <si>
    <t>total_il_high_credit_limit</t>
  </si>
  <si>
    <t>revol_bal_joint</t>
  </si>
  <si>
    <t>sec_app_fico_range_low</t>
  </si>
  <si>
    <t>sec_app_fico_range_high</t>
  </si>
  <si>
    <t>sec_app_earliest_cr_line</t>
  </si>
  <si>
    <t>sec_app_inq_last_6mths</t>
  </si>
  <si>
    <t>sec_app_mort_acc</t>
  </si>
  <si>
    <t>sec_app_open_acc</t>
  </si>
  <si>
    <t>sec_app_revol_util</t>
  </si>
  <si>
    <t>sec_app_open_act_il</t>
  </si>
  <si>
    <t>sec_app_num_rev_accts</t>
  </si>
  <si>
    <t>sec_app_chargeoff_within_12_mths</t>
  </si>
  <si>
    <t>sec_app_collections_12_mths_ex_med</t>
  </si>
  <si>
    <t>sec_app_mths_since_last_major_derog</t>
  </si>
  <si>
    <t>hardship_flag</t>
  </si>
  <si>
    <t>hardship_type</t>
  </si>
  <si>
    <t>hardship_reason</t>
  </si>
  <si>
    <t>hardship_status</t>
  </si>
  <si>
    <t>deferral_term</t>
  </si>
  <si>
    <t>hardship_amount</t>
  </si>
  <si>
    <t>hardship_start_date</t>
  </si>
  <si>
    <t>hardship_end_date</t>
  </si>
  <si>
    <t>payment_plan_start_date</t>
  </si>
  <si>
    <t>hardship_length</t>
  </si>
  <si>
    <t>hardship_dpd</t>
  </si>
  <si>
    <t>hardship_loan_status</t>
  </si>
  <si>
    <t>orig_projected_additional_accrued_interest</t>
  </si>
  <si>
    <t>hardship_payoff_balance_amount</t>
  </si>
  <si>
    <t>hardship_last_payment_amount</t>
  </si>
  <si>
    <t>disbursement_method</t>
  </si>
  <si>
    <t>debt_settlement_flag</t>
  </si>
  <si>
    <t>debt_settlement_flag_date</t>
  </si>
  <si>
    <t>settlement_status</t>
  </si>
  <si>
    <t>settlement_date</t>
  </si>
  <si>
    <t>settlement_amount</t>
  </si>
  <si>
    <t>settlement_percentage</t>
  </si>
  <si>
    <t>settlement_term</t>
  </si>
  <si>
    <t xml:space="preserve">Loan's interest rate annually </t>
  </si>
  <si>
    <t>Non a key</t>
  </si>
  <si>
    <t>Minimum 5.31, Maximum 30.99</t>
  </si>
  <si>
    <t>Monthly payment amount owed by borrower</t>
  </si>
  <si>
    <t>non-negative</t>
  </si>
  <si>
    <t>LendingClub’s credit risk grade (A=best, G=worst)</t>
  </si>
  <si>
    <t>[A-G]</t>
  </si>
  <si>
    <t>Detailed risk assessment within each grade</t>
  </si>
  <si>
    <t>A1-A5, B1-B5, C1-C5, etc.</t>
  </si>
  <si>
    <t>Job title</t>
  </si>
  <si>
    <t>Borrower’s employment length</t>
  </si>
  <si>
    <t xml:space="preserve"> Less than a  year = 0, more than 10 = 10 </t>
  </si>
  <si>
    <t>Housing status of the borrower</t>
  </si>
  <si>
    <t xml:space="preserve">Data quality issue in Grade </t>
  </si>
  <si>
    <t>7.5% missing -&gt; replace to be unknown</t>
  </si>
  <si>
    <t>Text handling (All upper or all lower, check 1-length, etc)</t>
  </si>
  <si>
    <t>Unify (ANY &amp; OTHER &amp; NONE)</t>
  </si>
  <si>
    <t xml:space="preserve">Review outliers </t>
  </si>
  <si>
    <t>Was income verified by LendingClub?</t>
  </si>
  <si>
    <t>Unify(Verfied, Source verfied) and unify characters</t>
  </si>
  <si>
    <t>Date (YYYY-MM)</t>
  </si>
  <si>
    <t>When the load funded</t>
  </si>
  <si>
    <t>Convert format to YYYY-MM</t>
  </si>
  <si>
    <t>current status of the loan</t>
  </si>
  <si>
    <t>Cleansing the outlier values having no meaning</t>
  </si>
  <si>
    <t>modified repayment arrangement between the lender and borrower when the borrower is having difficulty making regular payments</t>
  </si>
  <si>
    <t>Char</t>
  </si>
  <si>
    <t xml:space="preserve">Upper </t>
  </si>
  <si>
    <t>Loan link on lending club website</t>
  </si>
  <si>
    <t>Drop the column,no analytical value</t>
  </si>
  <si>
    <t>Entred by the borrower shows the reason for the loan</t>
  </si>
  <si>
    <t>one_to_one</t>
  </si>
  <si>
    <t>Drop the column, redundant</t>
  </si>
  <si>
    <t xml:space="preserve">same as purpose </t>
  </si>
  <si>
    <t>location provided by the borrower</t>
  </si>
  <si>
    <t>exclude negatives, it would be represented as a ratio</t>
  </si>
  <si>
    <t>Number of 30+ day delinquencies in past 2 years</t>
  </si>
  <si>
    <t>Int</t>
  </si>
  <si>
    <t>The month and year when the borrower's first credit account was opened (first credit line ever established). This is the borrower's credit age or credit maturity - a measure of credit experience.</t>
  </si>
  <si>
    <t>The borrower's FICO credit score range at loan origination. FICO scores range from 300-850 and measure creditworthiness - higher scores = better credit, lower default risk.</t>
  </si>
  <si>
    <t>Number of credit inquiries in last 6 months</t>
  </si>
  <si>
    <t>Number of open credit lines</t>
  </si>
  <si>
    <t>Number of derogatory public records (bankruptcy, liens, judgments)</t>
  </si>
  <si>
    <t>Number of months since last deq if any</t>
  </si>
  <si>
    <t>The number of months since the last public record.</t>
  </si>
  <si>
    <t>Total credit card balance ÷ Total credit limit</t>
  </si>
  <si>
    <t>check if value &gt; limit</t>
  </si>
  <si>
    <t>More than 100% values should be dropped, Null Records: 1,835 (0.08%)</t>
  </si>
  <si>
    <t>Total number of credit lines the borrower has EVER opened in their lifetime (includes closed accounts - credit cards, loans, mortgages, everything reported to credit bureaus)</t>
  </si>
  <si>
    <t>Null Records: 62 (0.00%)</t>
  </si>
  <si>
    <r>
      <t xml:space="preserve">Total </t>
    </r>
    <r>
      <rPr>
        <b/>
        <sz val="11"/>
        <color theme="1"/>
        <rFont val="Aptos Narrow"/>
        <family val="2"/>
        <scheme val="minor"/>
      </rPr>
      <t>current balance</t>
    </r>
    <r>
      <rPr>
        <sz val="11"/>
        <color theme="1"/>
        <rFont val="Aptos Narrow"/>
        <family val="2"/>
        <scheme val="minor"/>
      </rPr>
      <t xml:space="preserve"> owed on all revolving credit accounts. This is the dollar amount of debt the borrower is carrying on credit cards RIGHT NOW.</t>
    </r>
  </si>
  <si>
    <t>How the loan was offered to investors - either as a "whole loan" (one investor buys entire loan) or "fractional" (split among many investors buying $25+ pieces)</t>
  </si>
  <si>
    <t>Remaining principal balance still owed on the loan (only relevant for "Current" loans still being paid)</t>
  </si>
  <si>
    <t>Same but for the amount funded by inv only</t>
  </si>
  <si>
    <t>Total amount paid by borrower to date (principal + interest + fees + everything)</t>
  </si>
  <si>
    <t>Total principal amount received back (portion of payments that went to paying down the original loan amount, not interest)</t>
  </si>
  <si>
    <t>Total interest earned from this loan (pure profit!)</t>
  </si>
  <si>
    <t>Late fees collected from borrower for missed payment deadlines</t>
  </si>
  <si>
    <t>Amount recovered AFTER loan was charged off through collections/legal process. Reduces losses on defaults - important for loss rate calculations</t>
  </si>
  <si>
    <t>Cost paid to collection agency to recover the money (expense)</t>
  </si>
  <si>
    <t>Date when borrower made their last payment</t>
  </si>
  <si>
    <t>Dollar amount of the last payment received</t>
  </si>
  <si>
    <t xml:space="preserve">Date when borrower should pay </t>
  </si>
  <si>
    <t>Last date LendingClub pulled the borrower's credit report to check status</t>
  </si>
  <si>
    <t>Most recent FICO score (vs original fico_range at loan start) - shows if credit improved or declined</t>
  </si>
  <si>
    <t>Number of collections accounts in last 12 months (excluding medical collections, which are treated more leniently)</t>
  </si>
  <si>
    <t>Months since last major derogatory event (bankruptcy, judgment, serious delinquency). NULL = never had one</t>
  </si>
  <si>
    <t>LendingClub internal policy code (always 1 in dataset - no variation)</t>
  </si>
  <si>
    <t>Type of loan application: Individual or Joint App (co-borrower)</t>
  </si>
  <si>
    <t>Combined debt-to-income ratio for joint applications (99% NULL)</t>
  </si>
  <si>
    <t>Income verification status for joint applications (99% NULL)</t>
  </si>
  <si>
    <t>Number of accounts currently delinquent (currently past due)</t>
  </si>
  <si>
    <t>Total collection amounts owed across all accounts</t>
  </si>
  <si>
    <t>Total current balance across ALL credit accounts</t>
  </si>
  <si>
    <t>Number of credit accounts opened in last 6 months</t>
  </si>
  <si>
    <t>Number of currently active installment loan accounts</t>
  </si>
  <si>
    <t>Number of installment loan accounts opened in last 12 months</t>
  </si>
  <si>
    <t>Number of installment loan accounts opened in last 24 months</t>
  </si>
  <si>
    <t>Months since most recent installment loan account opened</t>
  </si>
  <si>
    <t>Total current balance of all installment loans</t>
  </si>
  <si>
    <t>Installment loan utilization rate (balance / original loan amount)</t>
  </si>
  <si>
    <t>Number of revolving accounts opened in last 12 months</t>
  </si>
  <si>
    <t>Number of revolving accounts opened in last 24 months</t>
  </si>
  <si>
    <t>Maximum current balance owed on any single bank card</t>
  </si>
  <si>
    <t>Overall credit utilization across all credit accounts</t>
  </si>
  <si>
    <t>Total revolving credit limit (sum of all credit card limits)</t>
  </si>
  <si>
    <t>Number of finance company credit inquiries in last 6 months</t>
  </si>
  <si>
    <t>Number of finance company accounts (credit union trade lines)</t>
  </si>
  <si>
    <t>Total credit inquiries in last 12 months</t>
  </si>
  <si>
    <t>Number of accounts opened in past 24 months</t>
  </si>
  <si>
    <t>Average current balance across all accounts</t>
  </si>
  <si>
    <t>Total available credit on bank cards (credit limit - balance)</t>
  </si>
  <si>
    <t>Bank card utilization rate (bank card balance / bank card limit)</t>
  </si>
  <si>
    <t>Number of charge-offs within last 12 months (defaults on OTHER loans)</t>
  </si>
  <si>
    <t>Dollar amount currently past due/delinquent</t>
  </si>
  <si>
    <t>Months since oldest installment loan account opened</t>
  </si>
  <si>
    <t>Months since oldest revolving account opened</t>
  </si>
  <si>
    <t>Months since most recent revolving account opened</t>
  </si>
  <si>
    <t>Months since most recent account of any kind opened</t>
  </si>
  <si>
    <t>Number of mortgage accounts</t>
  </si>
  <si>
    <t>Months since most recent bank card account opened</t>
  </si>
  <si>
    <t>Months since most recent bank card delinquency</t>
  </si>
  <si>
    <t>Months since most recent credit inquiry</t>
  </si>
  <si>
    <t>Months since most recent revolving account delinquency</t>
  </si>
  <si>
    <t>Number of accounts EVER 120+ days past due in credit history</t>
  </si>
  <si>
    <t>Number of currently active bank card accounts</t>
  </si>
  <si>
    <t>Number of currently active revolving accounts</t>
  </si>
  <si>
    <t>Number of satisfactory bank card accounts</t>
  </si>
  <si>
    <t>Number of bank card accounts (total, active + closed)</t>
  </si>
  <si>
    <t>Number of installment loan accounts (total)</t>
  </si>
  <si>
    <t>Number of open revolving accounts</t>
  </si>
  <si>
    <t>Number of revolving accounts (total)</t>
  </si>
  <si>
    <t>Number of revolving accounts with balance greater than $0</t>
  </si>
  <si>
    <t>Number of satisfactory accounts</t>
  </si>
  <si>
    <t>Number of accounts 120+ days past due in last 2 months</t>
  </si>
  <si>
    <t>Number of accounts currently 30+ days past due</t>
  </si>
  <si>
    <t>Number of accounts 90+ days past due in last 24 months</t>
  </si>
  <si>
    <t>Number of accounts opened in past 12 months</t>
  </si>
  <si>
    <t>Percentage of accounts never delinquent</t>
  </si>
  <si>
    <t>Percentage of bank cards with utilization &gt;75% (near maxed out)</t>
  </si>
  <si>
    <t>Number of bankruptcy filings in public records</t>
  </si>
  <si>
    <t>Number of tax liens in public records</t>
  </si>
  <si>
    <t>Total high credit limit across all accounts</t>
  </si>
  <si>
    <t>Total balance excluding mortgage debt</t>
  </si>
  <si>
    <t>Total bank card credit limit</t>
  </si>
  <si>
    <t>Total original amount of all installment loans</t>
  </si>
  <si>
    <t>Combined revolving balance for joint applications (99% NULL)</t>
  </si>
  <si>
    <t>Lower FICO score for second applicant (joint apps only, 99% NULL)</t>
  </si>
  <si>
    <t>Upper FICO score for second applicant (joint apps only, 99% NULL)</t>
  </si>
  <si>
    <t>Date first credit line opened for second applicant (joint apps, 99% NULL)</t>
  </si>
  <si>
    <t>Credit inquiries for second applicant in last 6 months (99% NULL)</t>
  </si>
  <si>
    <t>Number of mortgage accounts for second applicant (99% NULL)</t>
  </si>
  <si>
    <t>Number of open accounts for second applicant (99% NULL)</t>
  </si>
  <si>
    <t>Revolving utilization for second applicant (99% NULL)</t>
  </si>
  <si>
    <t>Number of active installment loans for second applicant (99% NULL)</t>
  </si>
  <si>
    <t>Number of revolving accounts for second applicant (99% NULL)</t>
  </si>
  <si>
    <t>Charge-offs in last 12 months for second applicant (99% NULL)</t>
  </si>
  <si>
    <t>Collections for second applicant excluding medical (99% NULL)</t>
  </si>
  <si>
    <t>Months since major derogatory event for second applicant (99% NULL)</t>
  </si>
  <si>
    <t>Borrower entered hardship payment plan (Y/N). &lt;1% of loans</t>
  </si>
  <si>
    <t>Type of hardship program (e.g., UNEMPLOYMENT, DISASTER). Rare</t>
  </si>
  <si>
    <t>Reason for hardship (job loss, medical, natural disaster). Rare</t>
  </si>
  <si>
    <t>Current status of hardship plan (ACTIVE, COMPLETED, CANCELLED). Rare</t>
  </si>
  <si>
    <t>Number of months payments were deferred in hardship plan</t>
  </si>
  <si>
    <t>Loan amount at time of hardship</t>
  </si>
  <si>
    <t>Date hardship plan started</t>
  </si>
  <si>
    <t>Date hardship plan ended or expected to end</t>
  </si>
  <si>
    <t>Date payment plan started (hardship or settlement)</t>
  </si>
  <si>
    <t>Number of months in hardship plan</t>
  </si>
  <si>
    <t>Days past due at time hardship plan initiated</t>
  </si>
  <si>
    <t>Loan status at time of hardship</t>
  </si>
  <si>
    <t>Projected additional interest if hardship plan not enacted</t>
  </si>
  <si>
    <t>Payoff balance at hardship plan start</t>
  </si>
  <si>
    <t>Last payment amount before hardship</t>
  </si>
  <si>
    <t>How loan funds were sent to borrower (Cash, DirectPay)</t>
  </si>
  <si>
    <t>Loan was settled for less than owed (Y/N). &lt;1% of loans</t>
  </si>
  <si>
    <t>Date debt settlement flag was set</t>
  </si>
  <si>
    <t>Status of debt settlement (ACTIVE, COMPLETE, BROKEN)</t>
  </si>
  <si>
    <t>Date debt settlement was completed</t>
  </si>
  <si>
    <t>Dollar amount loan was settled for (less than original balance)</t>
  </si>
  <si>
    <t>Percentage of original balance accepted as settlement</t>
  </si>
  <si>
    <t>Number of months to complete settlement payments</t>
  </si>
  <si>
    <t>Combined annual income for joint applications only.</t>
  </si>
  <si>
    <t>Verify Percint values</t>
  </si>
  <si>
    <t xml:space="preserve">Rounded </t>
  </si>
  <si>
    <t xml:space="preserve">Unknown </t>
  </si>
  <si>
    <r>
      <t>Alert:</t>
    </r>
    <r>
      <rPr>
        <sz val="11"/>
        <color theme="1"/>
        <rFont val="Arial"/>
        <family val="2"/>
      </rPr>
      <t> Current loans with last_pymnt_d &gt; 60 days ago</t>
    </r>
  </si>
  <si>
    <r>
      <t>Business Rule:</t>
    </r>
    <r>
      <rPr>
        <sz val="11"/>
        <color theme="1"/>
        <rFont val="Aptos Narrow"/>
        <family val="2"/>
        <scheme val="minor"/>
      </rPr>
      <t xml:space="preserve"> Many lenders auto-decline if </t>
    </r>
    <r>
      <rPr>
        <sz val="11"/>
        <color theme="1"/>
        <rFont val="Arial Unicode MS"/>
      </rPr>
      <t>collections_12_mths_ex_med &gt; 0</t>
    </r>
  </si>
  <si>
    <t>Unique identifier represents the loan</t>
  </si>
  <si>
    <t>value should be 36 or 60 int value</t>
  </si>
  <si>
    <t>Loan repayment period</t>
  </si>
  <si>
    <t>The borrower’s  monthly debt payments excluding the requested loan, divided by the borrower’s monthly income.</t>
  </si>
  <si>
    <t>Data cleansing "'" in the start of the cell</t>
  </si>
  <si>
    <t>Feature</t>
  </si>
  <si>
    <t>Risk Scoring Matrix</t>
  </si>
  <si>
    <t>Dimension</t>
  </si>
  <si>
    <t>Condition / Bucket</t>
  </si>
  <si>
    <t>Weight (points)</t>
  </si>
  <si>
    <t>Credit quality</t>
  </si>
  <si>
    <t>&lt; 660 → High (3) / 660–700 → Med (2) / &gt;700 → Low (1)</t>
  </si>
  <si>
    <t>Debt burden</t>
  </si>
  <si>
    <t>&gt; 40% → High (3) / 30–40 → Med (2) / &lt;30 → Low (1)</t>
  </si>
  <si>
    <t>Affordability</t>
  </si>
  <si>
    <t>&lt;40k → High (3) / 40–80k → Med (2) / &gt;80k → Low (1)</t>
  </si>
  <si>
    <t>Pricing</t>
  </si>
  <si>
    <t>&gt;18% → High (3) / 13–18 → Med (2) / &lt;13 → Low (1)</t>
  </si>
  <si>
    <t>Loan size vs income</t>
  </si>
  <si>
    <t>loan_amnt/annual_inc</t>
  </si>
  <si>
    <t>&gt;0.4 → High / 0.2–0.4 → Med / &lt;0.2 → Low</t>
  </si>
  <si>
    <t>Recent behavior</t>
  </si>
  <si>
    <t>&gt;5→High / 3–5→Med / &lt;3→Low</t>
  </si>
  <si>
    <t>Employment</t>
  </si>
  <si>
    <t>emp_length_years</t>
  </si>
  <si>
    <t>&lt;3→High / 3–7→Med / &gt;7→Low</t>
  </si>
  <si>
    <t>Loan term</t>
  </si>
  <si>
    <t>60 months→Med / 36→Low</t>
  </si>
  <si>
    <t>Current performance</t>
  </si>
  <si>
    <t>Late/Grace/Default→Critical boost</t>
  </si>
  <si>
    <t>Total</t>
  </si>
  <si>
    <t>8 (binary)</t>
  </si>
  <si>
    <t>Credit risk criteria and rating thresholds are inspired by the Basel Committee’s guidance on credit risk and the IFRS 9 expected-credit-loss model.</t>
  </si>
  <si>
    <t>ROI</t>
  </si>
  <si>
    <t>total_collected - total_funded) * 100.0 / total_funded</t>
  </si>
  <si>
    <t>Portfolio Measures:</t>
  </si>
  <si>
    <r>
      <t>Total loss</t>
    </r>
    <r>
      <rPr>
        <sz val="11"/>
        <color theme="1"/>
        <rFont val="Aptos Narrow"/>
        <family val="2"/>
        <scheme val="minor"/>
      </rPr>
      <t xml:space="preserve"> </t>
    </r>
  </si>
  <si>
    <t xml:space="preserve">profit </t>
  </si>
  <si>
    <t xml:space="preserve"> total_pymnt - funded_amount </t>
  </si>
  <si>
    <t>Unpaid principal - any future recoveries (chargedoff &amp; default)</t>
  </si>
  <si>
    <r>
      <t>SUM</t>
    </r>
    <r>
      <rPr>
        <sz val="11"/>
        <color theme="1"/>
        <rFont val="Aptos Narrow"/>
        <family val="2"/>
        <scheme val="minor"/>
      </rPr>
      <t>(funded_amnt) / addr_state</t>
    </r>
  </si>
  <si>
    <t>Avg Per State</t>
  </si>
  <si>
    <t>start_dt</t>
  </si>
  <si>
    <t>end_dt</t>
  </si>
  <si>
    <t>is_deliquent</t>
  </si>
  <si>
    <t>is_performing</t>
  </si>
  <si>
    <t>is_non_performing</t>
  </si>
  <si>
    <t>is_default</t>
  </si>
  <si>
    <t>is_chargedoff</t>
  </si>
  <si>
    <t>Used</t>
  </si>
  <si>
    <t>Column</t>
  </si>
  <si>
    <t>Null</t>
  </si>
  <si>
    <t>Null_precentage</t>
  </si>
  <si>
    <t>Distinct_count</t>
  </si>
  <si>
    <t>Silver_layer_lookup</t>
  </si>
  <si>
    <t xml:space="preserve">    StructField("id", StringType(), True),</t>
  </si>
  <si>
    <t xml:space="preserve">    StructField("member_id", StringType(), True),</t>
  </si>
  <si>
    <t xml:space="preserve">    StructField("funded_amnt", DecimalType(10,2), True),</t>
  </si>
  <si>
    <t xml:space="preserve">    StructField("funded_amnt_inv", DecimalType(10,2), True),</t>
  </si>
  <si>
    <t xml:space="preserve">    StructField("term", StringType(), True),</t>
  </si>
  <si>
    <t xml:space="preserve">    StructField("int_rate", DecimalType(10,2), True),</t>
  </si>
  <si>
    <t xml:space="preserve">    StructField("installment", DecimalType(10,2), True),</t>
  </si>
  <si>
    <t xml:space="preserve">    StructField("grade", StringType(), True),</t>
  </si>
  <si>
    <t xml:space="preserve">    StructField("sub_grade", StringType(), True),</t>
  </si>
  <si>
    <t xml:space="preserve">    StructField("emp_title", StringType(), True),</t>
  </si>
  <si>
    <t xml:space="preserve">    StructField("emp_length", StringType(), True),</t>
  </si>
  <si>
    <t xml:space="preserve">    StructField("home_ownership", StringType(), True),</t>
  </si>
  <si>
    <t xml:space="preserve">    StructField("annual_inc", DecimalType(10,2), True),</t>
  </si>
  <si>
    <t xml:space="preserve">    StructField("verification_status", StringType(), True),</t>
  </si>
  <si>
    <t xml:space="preserve">    StructField("issue_d", DateType(), True),</t>
  </si>
  <si>
    <t xml:space="preserve">    StructField("loan_status", StringType(), True),</t>
  </si>
  <si>
    <t xml:space="preserve">    StructField("purpose", StringType(), True),</t>
  </si>
  <si>
    <t xml:space="preserve">    StructField("title", StringType(), True),</t>
  </si>
  <si>
    <t xml:space="preserve">    StructField("zip_code", StringType(), True),</t>
  </si>
  <si>
    <t xml:space="preserve">    StructField("addr_state", StringType(), True),</t>
  </si>
  <si>
    <t xml:space="preserve">    StructField("dti", DecimalType(10,2), True),</t>
  </si>
  <si>
    <t xml:space="preserve">    StructField("delinq_2yrs", IntegerType(), True),</t>
  </si>
  <si>
    <t xml:space="preserve">    StructField("earliest_cr_line", DateType(), True),</t>
  </si>
  <si>
    <t xml:space="preserve">    StructField("fico_range_low", IntegerType(), True),</t>
  </si>
  <si>
    <t xml:space="preserve">    StructField("fico_range_high", IntegerType(), True),</t>
  </si>
  <si>
    <t xml:space="preserve">    StructField("inq_last_6mths", IntegerType(), True),</t>
  </si>
  <si>
    <t xml:space="preserve">    StructField("mths_since_last_delinq", IntegerType(), True),</t>
  </si>
  <si>
    <t xml:space="preserve">    StructField("mths_since_last_record", IntegerType(), True),</t>
  </si>
  <si>
    <t xml:space="preserve">    StructField("open_acc", IntegerType(), True),</t>
  </si>
  <si>
    <t xml:space="preserve">    StructField("pub_rec", IntegerType(), True),</t>
  </si>
  <si>
    <t xml:space="preserve">    StructField("revol_bal", DecimalType(10,2), True),</t>
  </si>
  <si>
    <t xml:space="preserve">    StructField("revol_util", DecimalType(10,2), True),</t>
  </si>
  <si>
    <t xml:space="preserve">    StructField("total_acc", IntegerType(), True),</t>
  </si>
  <si>
    <t xml:space="preserve">    StructField("initial_list_status", StringType(), True),  # CharType not available, use StringType</t>
  </si>
  <si>
    <t xml:space="preserve">    StructField("out_prncp", DecimalType(10,2), True),</t>
  </si>
  <si>
    <t xml:space="preserve">    StructField("out_prncp_inv", DecimalType(10,2), True),</t>
  </si>
  <si>
    <t xml:space="preserve">    StructField("total_pymnt", DecimalType(10,2), True),</t>
  </si>
  <si>
    <t xml:space="preserve">    StructField("total_pymnt_inv", DecimalType(10,2), True),</t>
  </si>
  <si>
    <t xml:space="preserve">    StructField("total_rec_prncp", DecimalType(10,2), True),</t>
  </si>
  <si>
    <t xml:space="preserve">    StructField("total_rec_int", DecimalType(10,2), True),</t>
  </si>
  <si>
    <t xml:space="preserve">    StructField("total_rec_late_fee", DecimalType(10,2), True),</t>
  </si>
  <si>
    <t xml:space="preserve">    StructField("recoveries", DecimalType(10,2), True),</t>
  </si>
  <si>
    <t xml:space="preserve">    StructField("collection_recovery_fee", DecimalType(10,2), True),</t>
  </si>
  <si>
    <t xml:space="preserve">    StructField("last_pymnt_amnt", DecimalType(10,2), True),</t>
  </si>
  <si>
    <t xml:space="preserve">    StructField("last_fico_range_high", IntegerType(), True),</t>
  </si>
  <si>
    <t xml:space="preserve">    StructField("last_fico_range_low", IntegerType(), True),</t>
  </si>
  <si>
    <t xml:space="preserve">    StructField("policy_code", StringType(), True),  # CharType not available, use StringType</t>
  </si>
  <si>
    <t xml:space="preserve">    StructField("application_type", StringType(), True)</t>
  </si>
  <si>
    <t>id,member_id,loan_amnt,funded_amnt,funded_amnt_inv,term,int_rate,installment,grade,sub_grade,emp_title,emp_length,home_ownership,annual_inc,verification_status,issue_d,loan_status,pymnt_plan,url,desc,purpose,title,zip_code,addr_state,dti,delinq_2yrs,earliest_cr_line,fico_range_low,fico_range_high,inq_last_6mths,mths_since_last_delinq,mths_since_last_record,open_acc,pub_rec,revol_bal,revol_util,total_acc,initial_list_status,out_prncp,out_prncp_inv,total_pymnt,total_pymnt_inv,total_rec_prncp,total_rec_int,total_rec_late_fee,recoveries,collection_recovery_fee,last_pymnt_d,last_pymnt_amnt,next_pymnt_d,last_credit_pull_d,last_fico_range_high,last_fico_range_low,collections_12_mths_ex_med,mths_since_last_major_derog,policy_code,application_type,annual_inc_joint,dti_joint,verification_status_joint,acc_now_delinq,tot_coll_amt,tot_cur_bal,open_acc_6m,open_act_il,open_il_12m,open_il_24m,mths_since_rcnt_il,total_bal_il,il_util,open_rv_12m,open_rv_24m,max_bal_bc,all_util,total_rev_hi_lim,inq_fi,total_cu_tl,inq_last_12m,acc_open_past_24mths,avg_cur_bal,bc_open_to_buy,bc_util,chargeoff_within_12_mths,delinq_amnt,mo_sin_old_il_acct,mo_sin_old_rev_tl_op,mo_sin_rcnt_rev_tl_op,mo_sin_rcnt_tl,mort_acc,mths_since_recent_bc,mths_since_recent_bc_dlq,mths_since_recent_inq,mths_since_recent_revol_delinq,num_accts_ever_120_pd,num_actv_bc_tl,num_actv_rev_tl,num_bc_sats,num_bc_tl,num_il_tl,num_op_rev_tl,num_rev_accts,num_rev_tl_bal_gt_0,num_sats,num_tl_120dpd_2m,num_tl_30dpd,num_tl_90g_dpd_24m,num_tl_op_past_12m,pct_tl_nvr_dlq,percent_bc_gt_75,pub_rec_bankruptcies,tax_liens,tot_hi_cred_lim,total_bal_ex_mort,total_bc_limit,total_il_high_credit_limit,revol_bal_joint,sec_app_fico_range_low,sec_app_fico_range_high,sec_app_earliest_cr_line,sec_app_inq_last_6mths,sec_app_mort_acc,sec_app_open_acc,sec_app_revol_util,sec_app_open_act_il,sec_app_num_rev_accts,sec_app_chargeoff_within_12_mths,sec_app_collections_12_mths_ex_med,sec_app_mths_since_last_major_derog,hardship_flag,hardship_type,hardship_reason,hardship_status,deferral_term,hardship_amount,hardship_start_date,hardship_end_date,payment_plan_start_date,hardship_length,hardship_dpd,hardship_loan_status,orig_projected_additional_accrued_interest,hardship_payoff_balance_amount,hardship_last_payment_amount,disbursement_method,debt_settlement_flag,debt_settlement_flag_date,settlement_status,settlement_date,settlement_amount,settlement_percentage,settlement_term</t>
  </si>
  <si>
    <t>68407277,,3600.0,3600.0,3600.0, 36 months,13.99,123.03,C,C4,leadman,10+ years,MORTGAGE,55000.0,Not Verified,Dec-2015,Fully Paid,n,https://lendingclub.com/browse/loanDetail.action?loan_id=68407277,,debt_consolidation,Debt consolidation,190xx,PA,5.91,0.0,Aug-2003,675.0,679.0,1.0,30.0,,7.0,0.0,2765.0,29.7,13.0,w,0.0,0.0,4421.723916800001,4421.72,3600.0,821.72,0.0,0.0,0.0,Jan-2019,122.67,,Mar-2019,564.0,560.0,0.0,30.0,1.0,Individual,,,,0.0,722.0,144904.0,2.0,2.0,0.0,1.0,21.0,4981.0,36.0,3.0,3.0,722.0,34.0,9300.0,3.0,1.0,4.0,4.0,20701.0,1506.0,37.2,0.0,0.0,148.0,128.0,3.0,3.0,1.0,4.0,69.0,4.0,69.0,2.0,2.0,4.0,2.0,5.0,3.0,4.0,9.0,4.0,7.0,0.0,0.0,0.0,3.0,76.9,0.0,0.0,0.0,178050.0,7746.0,2400.0,13734.0,,,,,,,,,,,,,,N,,,,,,,,,,,,,,,Cash,N,,,,,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</si>
</sst>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 Unicode MS"/>
    </font>
    <font>
      <b/>
      <sz val="24"/>
      <color theme="1"/>
      <name val="Aptos Narrow"/>
      <family val="2"/>
      <scheme val="minor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</cellStyleXfs>
  <cellXfs count="34">
    <xf numFmtId="0" fontId="0" fillId="0" borderId="0" xfId="0"/>
    <xf numFmtId="0" fontId="0" fillId="0" borderId="0" xfId="0" applyAlignment="1">
      <alignment vertical="center" wrapText="1"/>
    </xf>
    <xf numFmtId="0" fontId="11" fillId="33" borderId="0" xfId="0" applyFont="1" applyFill="1" applyAlignment="1">
      <alignment horizontal="center" vertical="center" wrapText="1"/>
    </xf>
    <xf numFmtId="0" fontId="15" fillId="33" borderId="0" xfId="0" applyFont="1" applyFill="1"/>
    <xf numFmtId="9" fontId="0" fillId="0" borderId="0" xfId="1" applyFont="1"/>
    <xf numFmtId="0" fontId="14" fillId="0" borderId="0" xfId="0" applyFont="1"/>
    <xf numFmtId="0" fontId="15" fillId="33" borderId="0" xfId="0" applyFont="1" applyFill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0" fillId="0" borderId="10" xfId="0" applyBorder="1"/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 vertical="center" wrapText="1" indent="1"/>
    </xf>
    <xf numFmtId="0" fontId="23" fillId="0" borderId="0" xfId="0" applyFont="1" applyAlignment="1">
      <alignment vertical="center"/>
    </xf>
    <xf numFmtId="0" fontId="14" fillId="0" borderId="0" xfId="0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right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right" vertical="center" wrapText="1"/>
    </xf>
    <xf numFmtId="0" fontId="0" fillId="0" borderId="14" xfId="0" applyBorder="1" applyAlignment="1">
      <alignment vertical="center" wrapText="1"/>
    </xf>
    <xf numFmtId="0" fontId="16" fillId="0" borderId="0" xfId="0" applyFont="1" applyAlignment="1">
      <alignment horizontal="right" vertical="center" wrapText="1"/>
    </xf>
    <xf numFmtId="0" fontId="0" fillId="0" borderId="15" xfId="0" applyBorder="1" applyAlignment="1">
      <alignment horizontal="right" vertical="center" wrapText="1"/>
    </xf>
    <xf numFmtId="0" fontId="0" fillId="0" borderId="17" xfId="0" applyBorder="1" applyAlignment="1">
      <alignment vertical="center" wrapText="1"/>
    </xf>
    <xf numFmtId="0" fontId="0" fillId="34" borderId="0" xfId="0" applyFill="1"/>
    <xf numFmtId="0" fontId="0" fillId="34" borderId="0" xfId="0" applyFill="1" applyAlignment="1">
      <alignment vertical="center" wrapText="1"/>
    </xf>
    <xf numFmtId="0" fontId="14" fillId="0" borderId="16" xfId="0" applyFont="1" applyBorder="1" applyAlignment="1">
      <alignment vertical="center" wrapText="1"/>
    </xf>
    <xf numFmtId="0" fontId="0" fillId="0" borderId="17" xfId="0" applyBorder="1" applyAlignment="1">
      <alignment horizontal="right" vertical="center" wrapText="1"/>
    </xf>
    <xf numFmtId="0" fontId="14" fillId="0" borderId="18" xfId="0" applyFont="1" applyBorder="1" applyAlignment="1">
      <alignment horizontal="right" vertical="center" wrapText="1"/>
    </xf>
    <xf numFmtId="0" fontId="2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20" xfId="0" applyFont="1" applyBorder="1"/>
    <xf numFmtId="0" fontId="14" fillId="0" borderId="19" xfId="0" applyFont="1" applyBorder="1"/>
    <xf numFmtId="0" fontId="11" fillId="33" borderId="0" xfId="0" applyFont="1" applyFill="1"/>
    <xf numFmtId="11" fontId="0" fillId="0" borderId="0" xfId="0" applyNumberFormat="1"/>
    <xf numFmtId="0" fontId="0" fillId="0" borderId="21" xfId="0" applyBorder="1" applyAlignment="1">
      <alignment wrapText="1"/>
    </xf>
  </cellXfs>
  <cellStyles count="43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7" xr:uid="{CA6250CC-BE14-4837-86D6-4D6668B81FCD}"/>
    <cellStyle name="60% - Accent2 2" xfId="38" xr:uid="{B6145052-954B-401C-BA9F-3147C324A8F1}"/>
    <cellStyle name="60% - Accent3 2" xfId="39" xr:uid="{99FACA75-E8E2-4A53-9439-28AA665697F3}"/>
    <cellStyle name="60% - Accent4 2" xfId="40" xr:uid="{C1A4C8CA-1C2C-4660-B499-E81C27546543}"/>
    <cellStyle name="60% - Accent5 2" xfId="41" xr:uid="{2D5C6623-3172-4B28-B56C-219E3C02CA87}"/>
    <cellStyle name="60% - Accent6 2" xfId="42" xr:uid="{7AA20F6A-E959-4931-811E-E7FB267BD2D2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6" xr:uid="{E25A9F6B-89A5-41A6-AE26-B20A78B5AA70}"/>
    <cellStyle name="Normal" xfId="0" builtinId="0"/>
    <cellStyle name="Note" xfId="14" builtinId="10" customBuiltin="1"/>
    <cellStyle name="Output" xfId="9" builtinId="21" customBuiltin="1"/>
    <cellStyle name="Percent" xfId="1" builtinId="5"/>
    <cellStyle name="Title 2" xfId="35" xr:uid="{085F19B1-5BE2-4F25-B767-54C1CBB48A48}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70F7C9-78E7-4F28-B820-00F5ED2B1A76}" name="Table2" displayName="Table2" ref="A17:B20" totalsRowShown="0">
  <autoFilter ref="A17:B20" xr:uid="{5370F7C9-78E7-4F28-B820-00F5ED2B1A76}"/>
  <tableColumns count="2">
    <tableColumn id="1" xr3:uid="{5CE2B79F-CB68-4445-8A0D-AED36A18400B}" name="ROI"/>
    <tableColumn id="2" xr3:uid="{34193E28-B800-4FDE-BE77-053390F20266}" name="total_collected - total_funded) * 100.0 / total_fund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0F64-58AC-4A83-B722-8F79BA8F22E8}">
  <sheetPr filterMode="1"/>
  <dimension ref="A1:H152"/>
  <sheetViews>
    <sheetView zoomScale="93" workbookViewId="0">
      <selection activeCell="A28" sqref="A28"/>
    </sheetView>
  </sheetViews>
  <sheetFormatPr defaultRowHeight="14.25"/>
  <cols>
    <col min="1" max="1" width="33.59765625" customWidth="1"/>
    <col min="2" max="2" width="62" customWidth="1"/>
    <col min="3" max="3" width="18.19921875" customWidth="1"/>
    <col min="4" max="4" width="22.33203125" customWidth="1"/>
    <col min="5" max="5" width="22.86328125" customWidth="1"/>
    <col min="6" max="6" width="44.9296875" customWidth="1"/>
    <col min="8" max="8" width="19.3984375" bestFit="1" customWidth="1"/>
  </cols>
  <sheetData>
    <row r="1" spans="1:8" s="3" customFormat="1">
      <c r="A1" s="2" t="s">
        <v>0</v>
      </c>
      <c r="B1" s="6" t="s">
        <v>2</v>
      </c>
      <c r="C1" s="2" t="s">
        <v>1</v>
      </c>
      <c r="D1" s="2" t="s">
        <v>3</v>
      </c>
      <c r="E1" s="2" t="s">
        <v>4</v>
      </c>
      <c r="F1" s="2" t="s">
        <v>5</v>
      </c>
      <c r="G1" s="31" t="s">
        <v>387</v>
      </c>
      <c r="H1" s="31" t="s">
        <v>392</v>
      </c>
    </row>
    <row r="2" spans="1:8">
      <c r="A2" s="7" t="s">
        <v>9</v>
      </c>
      <c r="B2" s="1" t="s">
        <v>338</v>
      </c>
      <c r="C2" s="1" t="s">
        <v>6</v>
      </c>
      <c r="D2" s="1" t="s">
        <v>12</v>
      </c>
      <c r="E2" s="1" t="s">
        <v>7</v>
      </c>
      <c r="F2" s="1" t="s">
        <v>52</v>
      </c>
      <c r="G2" t="str">
        <f t="shared" ref="G2:G33" si="0">IF(ISNUMBER(MATCH(A2, H:H, 0)), "Y", "N")</f>
        <v>Y</v>
      </c>
      <c r="H2" t="s">
        <v>9</v>
      </c>
    </row>
    <row r="3" spans="1:8">
      <c r="A3" s="7" t="s">
        <v>10</v>
      </c>
      <c r="B3" s="1"/>
      <c r="C3" s="1" t="s">
        <v>11</v>
      </c>
      <c r="D3" s="1" t="s">
        <v>13</v>
      </c>
      <c r="E3" s="1" t="s">
        <v>171</v>
      </c>
      <c r="F3" s="1" t="s">
        <v>53</v>
      </c>
      <c r="G3" t="str">
        <f t="shared" si="0"/>
        <v>Y</v>
      </c>
      <c r="H3" t="s">
        <v>10</v>
      </c>
    </row>
    <row r="4" spans="1:8" hidden="1">
      <c r="A4" t="s">
        <v>14</v>
      </c>
      <c r="B4" t="s">
        <v>48</v>
      </c>
      <c r="C4" s="1" t="s">
        <v>8</v>
      </c>
      <c r="D4" s="1" t="s">
        <v>13</v>
      </c>
      <c r="E4" s="1" t="s">
        <v>171</v>
      </c>
      <c r="F4" s="1" t="s">
        <v>16</v>
      </c>
      <c r="G4" t="str">
        <f t="shared" si="0"/>
        <v>N</v>
      </c>
      <c r="H4" t="s">
        <v>25</v>
      </c>
    </row>
    <row r="5" spans="1:8">
      <c r="A5" t="s">
        <v>17</v>
      </c>
      <c r="B5" s="33" t="s">
        <v>50</v>
      </c>
      <c r="C5" s="1" t="s">
        <v>8</v>
      </c>
      <c r="D5" s="1" t="s">
        <v>13</v>
      </c>
      <c r="E5" s="1" t="s">
        <v>171</v>
      </c>
      <c r="F5" s="8" t="s">
        <v>201</v>
      </c>
      <c r="G5" t="str">
        <f t="shared" si="0"/>
        <v>Y</v>
      </c>
      <c r="H5" t="s">
        <v>26</v>
      </c>
    </row>
    <row r="6" spans="1:8">
      <c r="A6" t="s">
        <v>49</v>
      </c>
      <c r="B6" s="33" t="s">
        <v>51</v>
      </c>
      <c r="C6" s="1" t="s">
        <v>8</v>
      </c>
      <c r="D6" s="1" t="s">
        <v>13</v>
      </c>
      <c r="E6" s="1" t="s">
        <v>171</v>
      </c>
      <c r="F6" s="8" t="s">
        <v>201</v>
      </c>
      <c r="G6" t="str">
        <f t="shared" si="0"/>
        <v>Y</v>
      </c>
      <c r="H6" t="s">
        <v>27</v>
      </c>
    </row>
    <row r="7" spans="1:8">
      <c r="A7" t="s">
        <v>18</v>
      </c>
      <c r="B7" t="s">
        <v>340</v>
      </c>
      <c r="C7" s="1" t="s">
        <v>6</v>
      </c>
      <c r="D7" s="1" t="s">
        <v>13</v>
      </c>
      <c r="E7" s="1" t="s">
        <v>171</v>
      </c>
      <c r="F7" s="1" t="s">
        <v>339</v>
      </c>
      <c r="G7" t="str">
        <f t="shared" si="0"/>
        <v>Y</v>
      </c>
      <c r="H7" t="s">
        <v>28</v>
      </c>
    </row>
    <row r="8" spans="1:8">
      <c r="A8" t="s">
        <v>19</v>
      </c>
      <c r="B8" t="s">
        <v>170</v>
      </c>
      <c r="C8" s="1" t="s">
        <v>8</v>
      </c>
      <c r="D8" s="1" t="s">
        <v>13</v>
      </c>
      <c r="E8" s="1" t="s">
        <v>171</v>
      </c>
      <c r="F8" s="9" t="s">
        <v>172</v>
      </c>
      <c r="G8" t="str">
        <f t="shared" si="0"/>
        <v>Y</v>
      </c>
      <c r="H8" t="s">
        <v>54</v>
      </c>
    </row>
    <row r="9" spans="1:8">
      <c r="A9" t="s">
        <v>20</v>
      </c>
      <c r="B9" s="4" t="s">
        <v>173</v>
      </c>
      <c r="C9" s="1" t="s">
        <v>8</v>
      </c>
      <c r="D9" s="1" t="s">
        <v>13</v>
      </c>
      <c r="E9" s="1" t="s">
        <v>171</v>
      </c>
      <c r="F9" t="s">
        <v>174</v>
      </c>
      <c r="G9" t="str">
        <f t="shared" si="0"/>
        <v>Y</v>
      </c>
      <c r="H9" t="s">
        <v>31</v>
      </c>
    </row>
    <row r="10" spans="1:8">
      <c r="A10" t="s">
        <v>21</v>
      </c>
      <c r="B10" s="4" t="s">
        <v>175</v>
      </c>
      <c r="C10" s="1" t="s">
        <v>6</v>
      </c>
      <c r="D10" s="1" t="s">
        <v>13</v>
      </c>
      <c r="E10" s="1" t="s">
        <v>171</v>
      </c>
      <c r="F10" t="s">
        <v>176</v>
      </c>
      <c r="G10" t="str">
        <f t="shared" si="0"/>
        <v>Y</v>
      </c>
      <c r="H10" t="s">
        <v>60</v>
      </c>
    </row>
    <row r="11" spans="1:8">
      <c r="A11" t="s">
        <v>22</v>
      </c>
      <c r="B11" s="4" t="s">
        <v>177</v>
      </c>
      <c r="C11" s="1" t="s">
        <v>6</v>
      </c>
      <c r="D11" s="1" t="s">
        <v>13</v>
      </c>
      <c r="E11" s="1" t="s">
        <v>171</v>
      </c>
      <c r="F11" s="4" t="s">
        <v>178</v>
      </c>
      <c r="G11" t="str">
        <f t="shared" si="0"/>
        <v>Y</v>
      </c>
      <c r="H11" t="s">
        <v>32</v>
      </c>
    </row>
    <row r="12" spans="1:8">
      <c r="A12" t="s">
        <v>25</v>
      </c>
      <c r="B12" s="4" t="s">
        <v>179</v>
      </c>
      <c r="C12" s="1" t="s">
        <v>6</v>
      </c>
      <c r="D12" s="1" t="s">
        <v>13</v>
      </c>
      <c r="E12" s="1" t="s">
        <v>171</v>
      </c>
      <c r="F12" s="1" t="s">
        <v>185</v>
      </c>
      <c r="G12" t="str">
        <f t="shared" si="0"/>
        <v>Y</v>
      </c>
      <c r="H12" t="s">
        <v>33</v>
      </c>
    </row>
    <row r="13" spans="1:8">
      <c r="A13" t="s">
        <v>26</v>
      </c>
      <c r="B13" s="4" t="s">
        <v>180</v>
      </c>
      <c r="C13" s="1" t="s">
        <v>6</v>
      </c>
      <c r="D13" s="1" t="s">
        <v>13</v>
      </c>
      <c r="E13" s="1" t="s">
        <v>171</v>
      </c>
      <c r="F13" t="s">
        <v>181</v>
      </c>
      <c r="G13" t="str">
        <f t="shared" si="0"/>
        <v>Y</v>
      </c>
      <c r="H13" t="s">
        <v>61</v>
      </c>
    </row>
    <row r="14" spans="1:8">
      <c r="A14" t="s">
        <v>27</v>
      </c>
      <c r="B14" s="4" t="s">
        <v>182</v>
      </c>
      <c r="C14" s="1" t="s">
        <v>6</v>
      </c>
      <c r="D14" s="1" t="s">
        <v>13</v>
      </c>
      <c r="E14" s="1" t="s">
        <v>171</v>
      </c>
      <c r="F14" t="s">
        <v>186</v>
      </c>
      <c r="G14" t="str">
        <f t="shared" si="0"/>
        <v>Y</v>
      </c>
      <c r="H14" t="s">
        <v>37</v>
      </c>
    </row>
    <row r="15" spans="1:8">
      <c r="A15" t="s">
        <v>28</v>
      </c>
      <c r="B15" s="4" t="s">
        <v>29</v>
      </c>
      <c r="C15" s="1" t="s">
        <v>8</v>
      </c>
      <c r="D15" s="1" t="s">
        <v>13</v>
      </c>
      <c r="E15" s="1" t="s">
        <v>171</v>
      </c>
      <c r="F15" s="1" t="s">
        <v>187</v>
      </c>
      <c r="G15" t="str">
        <f t="shared" si="0"/>
        <v>Y</v>
      </c>
      <c r="H15" t="s">
        <v>62</v>
      </c>
    </row>
    <row r="16" spans="1:8">
      <c r="A16" t="s">
        <v>54</v>
      </c>
      <c r="B16" t="s">
        <v>188</v>
      </c>
      <c r="C16" s="1" t="s">
        <v>6</v>
      </c>
      <c r="D16" s="1" t="s">
        <v>13</v>
      </c>
      <c r="E16" s="1" t="s">
        <v>171</v>
      </c>
      <c r="F16" s="1" t="s">
        <v>189</v>
      </c>
      <c r="G16" t="str">
        <f t="shared" si="0"/>
        <v>Y</v>
      </c>
      <c r="H16" t="s">
        <v>63</v>
      </c>
    </row>
    <row r="17" spans="1:8">
      <c r="A17" t="s">
        <v>15</v>
      </c>
      <c r="B17" s="4" t="s">
        <v>191</v>
      </c>
      <c r="C17" s="1" t="s">
        <v>190</v>
      </c>
      <c r="D17" s="1" t="s">
        <v>13</v>
      </c>
      <c r="E17" s="1" t="s">
        <v>171</v>
      </c>
      <c r="F17" s="1" t="s">
        <v>192</v>
      </c>
      <c r="G17" t="str">
        <f t="shared" si="0"/>
        <v>Y</v>
      </c>
      <c r="H17" t="s">
        <v>36</v>
      </c>
    </row>
    <row r="18" spans="1:8">
      <c r="A18" t="s">
        <v>23</v>
      </c>
      <c r="B18" s="1" t="s">
        <v>193</v>
      </c>
      <c r="C18" s="1" t="s">
        <v>6</v>
      </c>
      <c r="D18" s="1" t="s">
        <v>13</v>
      </c>
      <c r="E18" s="1" t="s">
        <v>171</v>
      </c>
      <c r="F18" s="1" t="s">
        <v>194</v>
      </c>
      <c r="G18" t="str">
        <f t="shared" si="0"/>
        <v>Y</v>
      </c>
      <c r="H18" t="s">
        <v>35</v>
      </c>
    </row>
    <row r="19" spans="1:8" hidden="1">
      <c r="A19" t="s">
        <v>55</v>
      </c>
      <c r="B19" t="s">
        <v>195</v>
      </c>
      <c r="C19" s="1" t="s">
        <v>196</v>
      </c>
      <c r="D19" s="1" t="s">
        <v>13</v>
      </c>
      <c r="E19" s="1" t="s">
        <v>171</v>
      </c>
      <c r="F19" s="1" t="s">
        <v>197</v>
      </c>
      <c r="G19" t="str">
        <f t="shared" si="0"/>
        <v>N</v>
      </c>
      <c r="H19" t="s">
        <v>38</v>
      </c>
    </row>
    <row r="20" spans="1:8" hidden="1">
      <c r="A20" t="s">
        <v>56</v>
      </c>
      <c r="B20" t="s">
        <v>198</v>
      </c>
      <c r="C20" s="1" t="s">
        <v>6</v>
      </c>
      <c r="D20" s="1" t="s">
        <v>13</v>
      </c>
      <c r="E20" s="1" t="s">
        <v>171</v>
      </c>
      <c r="F20" s="1" t="s">
        <v>199</v>
      </c>
      <c r="G20" t="str">
        <f t="shared" si="0"/>
        <v>N</v>
      </c>
      <c r="H20" t="s">
        <v>380</v>
      </c>
    </row>
    <row r="21" spans="1:8" hidden="1">
      <c r="A21" t="s">
        <v>57</v>
      </c>
      <c r="C21" s="1" t="s">
        <v>6</v>
      </c>
      <c r="D21" s="1" t="s">
        <v>13</v>
      </c>
      <c r="E21" s="1" t="s">
        <v>171</v>
      </c>
      <c r="F21" s="1" t="s">
        <v>199</v>
      </c>
      <c r="G21" t="str">
        <f t="shared" si="0"/>
        <v>N</v>
      </c>
      <c r="H21" t="s">
        <v>381</v>
      </c>
    </row>
    <row r="22" spans="1:8">
      <c r="A22" t="s">
        <v>24</v>
      </c>
      <c r="B22" t="s">
        <v>200</v>
      </c>
      <c r="C22" s="1" t="s">
        <v>6</v>
      </c>
      <c r="D22" s="1" t="s">
        <v>13</v>
      </c>
      <c r="E22" s="1" t="s">
        <v>171</v>
      </c>
      <c r="F22" s="1" t="s">
        <v>201</v>
      </c>
      <c r="G22" t="str">
        <f t="shared" si="0"/>
        <v>Y</v>
      </c>
      <c r="H22" t="s">
        <v>23</v>
      </c>
    </row>
    <row r="23" spans="1:8">
      <c r="A23" t="s">
        <v>58</v>
      </c>
      <c r="B23" t="s">
        <v>203</v>
      </c>
      <c r="C23" s="1" t="s">
        <v>6</v>
      </c>
      <c r="D23" s="1" t="s">
        <v>13</v>
      </c>
      <c r="E23" s="1" t="s">
        <v>171</v>
      </c>
      <c r="F23" s="1" t="s">
        <v>202</v>
      </c>
      <c r="G23" t="str">
        <f t="shared" si="0"/>
        <v>Y</v>
      </c>
      <c r="H23" t="s">
        <v>382</v>
      </c>
    </row>
    <row r="24" spans="1:8">
      <c r="A24" t="s">
        <v>59</v>
      </c>
      <c r="B24" t="s">
        <v>204</v>
      </c>
      <c r="C24" s="1" t="s">
        <v>6</v>
      </c>
      <c r="D24" s="1" t="s">
        <v>13</v>
      </c>
      <c r="E24" s="1" t="s">
        <v>171</v>
      </c>
      <c r="F24" s="1" t="s">
        <v>201</v>
      </c>
      <c r="G24" t="str">
        <f t="shared" si="0"/>
        <v>Y</v>
      </c>
      <c r="H24" t="s">
        <v>383</v>
      </c>
    </row>
    <row r="25" spans="1:8">
      <c r="A25" t="s">
        <v>30</v>
      </c>
      <c r="B25" t="s">
        <v>204</v>
      </c>
      <c r="C25" s="1" t="s">
        <v>6</v>
      </c>
      <c r="D25" s="1" t="s">
        <v>13</v>
      </c>
      <c r="E25" s="1" t="s">
        <v>171</v>
      </c>
      <c r="F25" s="1" t="s">
        <v>201</v>
      </c>
      <c r="G25" t="str">
        <f t="shared" si="0"/>
        <v>Y</v>
      </c>
      <c r="H25" t="s">
        <v>384</v>
      </c>
    </row>
    <row r="26" spans="1:8" ht="28.5">
      <c r="A26" t="s">
        <v>31</v>
      </c>
      <c r="B26" s="33" t="s">
        <v>341</v>
      </c>
      <c r="C26" s="1" t="s">
        <v>8</v>
      </c>
      <c r="D26" s="1" t="s">
        <v>13</v>
      </c>
      <c r="E26" s="1" t="s">
        <v>171</v>
      </c>
      <c r="F26" t="s">
        <v>205</v>
      </c>
      <c r="G26" t="str">
        <f t="shared" si="0"/>
        <v>Y</v>
      </c>
      <c r="H26" t="s">
        <v>385</v>
      </c>
    </row>
    <row r="27" spans="1:8">
      <c r="A27" t="s">
        <v>37</v>
      </c>
      <c r="B27" t="s">
        <v>206</v>
      </c>
      <c r="C27" s="1" t="s">
        <v>207</v>
      </c>
      <c r="D27" s="1" t="s">
        <v>13</v>
      </c>
      <c r="E27" s="1" t="s">
        <v>171</v>
      </c>
      <c r="F27" s="1" t="s">
        <v>201</v>
      </c>
      <c r="G27" t="str">
        <f t="shared" si="0"/>
        <v>Y</v>
      </c>
      <c r="H27" t="s">
        <v>386</v>
      </c>
    </row>
    <row r="28" spans="1:8">
      <c r="A28" t="s">
        <v>60</v>
      </c>
      <c r="B28" t="s">
        <v>208</v>
      </c>
      <c r="C28" s="1" t="s">
        <v>190</v>
      </c>
      <c r="D28" s="1" t="s">
        <v>13</v>
      </c>
      <c r="E28" s="1" t="s">
        <v>171</v>
      </c>
      <c r="F28" s="1" t="s">
        <v>201</v>
      </c>
      <c r="G28" t="str">
        <f t="shared" si="0"/>
        <v>Y</v>
      </c>
      <c r="H28" t="s">
        <v>21</v>
      </c>
    </row>
    <row r="29" spans="1:8">
      <c r="A29" t="s">
        <v>32</v>
      </c>
      <c r="B29" t="s">
        <v>209</v>
      </c>
      <c r="C29" s="1" t="s">
        <v>207</v>
      </c>
      <c r="D29" s="1" t="s">
        <v>13</v>
      </c>
      <c r="E29" s="1" t="s">
        <v>171</v>
      </c>
      <c r="F29" s="1" t="s">
        <v>201</v>
      </c>
      <c r="G29" t="str">
        <f t="shared" si="0"/>
        <v>Y</v>
      </c>
      <c r="H29" t="s">
        <v>22</v>
      </c>
    </row>
    <row r="30" spans="1:8">
      <c r="A30" t="s">
        <v>33</v>
      </c>
      <c r="B30" t="s">
        <v>209</v>
      </c>
      <c r="C30" s="1" t="s">
        <v>207</v>
      </c>
      <c r="D30" s="1" t="s">
        <v>13</v>
      </c>
      <c r="E30" s="1" t="s">
        <v>171</v>
      </c>
      <c r="F30" s="1" t="s">
        <v>201</v>
      </c>
      <c r="G30" t="str">
        <f t="shared" si="0"/>
        <v>Y</v>
      </c>
      <c r="H30" t="s">
        <v>18</v>
      </c>
    </row>
    <row r="31" spans="1:8">
      <c r="A31" t="s">
        <v>61</v>
      </c>
      <c r="B31" t="s">
        <v>210</v>
      </c>
      <c r="C31" s="1" t="s">
        <v>207</v>
      </c>
      <c r="D31" s="1" t="s">
        <v>13</v>
      </c>
      <c r="E31" s="1" t="s">
        <v>171</v>
      </c>
      <c r="F31" s="1" t="s">
        <v>201</v>
      </c>
      <c r="G31" t="str">
        <f t="shared" si="0"/>
        <v>Y</v>
      </c>
      <c r="H31" t="s">
        <v>24</v>
      </c>
    </row>
    <row r="32" spans="1:8">
      <c r="A32" t="s">
        <v>62</v>
      </c>
      <c r="B32" t="s">
        <v>213</v>
      </c>
      <c r="C32" s="1" t="s">
        <v>207</v>
      </c>
      <c r="D32" s="1" t="s">
        <v>13</v>
      </c>
      <c r="E32" s="1" t="s">
        <v>171</v>
      </c>
      <c r="F32" s="1" t="s">
        <v>201</v>
      </c>
      <c r="G32" t="str">
        <f t="shared" si="0"/>
        <v>Y</v>
      </c>
      <c r="H32" t="s">
        <v>58</v>
      </c>
    </row>
    <row r="33" spans="1:8">
      <c r="A33" t="s">
        <v>63</v>
      </c>
      <c r="B33" s="33" t="s">
        <v>214</v>
      </c>
      <c r="C33" s="1" t="s">
        <v>207</v>
      </c>
      <c r="D33" s="1" t="s">
        <v>13</v>
      </c>
      <c r="E33" s="1" t="s">
        <v>171</v>
      </c>
      <c r="F33" s="1" t="s">
        <v>201</v>
      </c>
      <c r="G33" t="str">
        <f t="shared" si="0"/>
        <v>Y</v>
      </c>
      <c r="H33" t="s">
        <v>75</v>
      </c>
    </row>
    <row r="34" spans="1:8">
      <c r="A34" t="s">
        <v>35</v>
      </c>
      <c r="B34" t="s">
        <v>211</v>
      </c>
      <c r="C34" s="1" t="s">
        <v>207</v>
      </c>
      <c r="D34" s="1" t="s">
        <v>13</v>
      </c>
      <c r="E34" s="1" t="s">
        <v>171</v>
      </c>
      <c r="F34" s="1" t="s">
        <v>201</v>
      </c>
      <c r="G34" t="str">
        <f t="shared" ref="G34:G65" si="1">IF(ISNUMBER(MATCH(A34, H:H, 0)), "Y", "N")</f>
        <v>Y</v>
      </c>
      <c r="H34" t="s">
        <v>74</v>
      </c>
    </row>
    <row r="35" spans="1:8">
      <c r="A35" t="s">
        <v>38</v>
      </c>
      <c r="B35" t="s">
        <v>212</v>
      </c>
      <c r="C35" t="s">
        <v>207</v>
      </c>
      <c r="D35" s="1" t="s">
        <v>13</v>
      </c>
      <c r="E35" s="1" t="s">
        <v>171</v>
      </c>
      <c r="F35" s="1" t="s">
        <v>201</v>
      </c>
      <c r="G35" t="str">
        <f t="shared" si="1"/>
        <v>Y</v>
      </c>
      <c r="H35" t="s">
        <v>65</v>
      </c>
    </row>
    <row r="36" spans="1:8">
      <c r="A36" t="s">
        <v>64</v>
      </c>
      <c r="B36" t="s">
        <v>220</v>
      </c>
      <c r="C36" s="1" t="s">
        <v>8</v>
      </c>
      <c r="D36" s="1" t="s">
        <v>13</v>
      </c>
      <c r="E36" s="1" t="s">
        <v>171</v>
      </c>
      <c r="F36" s="1" t="s">
        <v>216</v>
      </c>
      <c r="G36" t="str">
        <f t="shared" si="1"/>
        <v>Y</v>
      </c>
      <c r="H36" t="s">
        <v>59</v>
      </c>
    </row>
    <row r="37" spans="1:8" ht="28.5">
      <c r="A37" t="s">
        <v>34</v>
      </c>
      <c r="B37" t="s">
        <v>215</v>
      </c>
      <c r="C37" s="1" t="s">
        <v>8</v>
      </c>
      <c r="D37" s="1" t="s">
        <v>13</v>
      </c>
      <c r="E37" s="1" t="s">
        <v>171</v>
      </c>
      <c r="F37" s="1" t="s">
        <v>217</v>
      </c>
      <c r="G37" t="str">
        <f t="shared" si="1"/>
        <v>Y</v>
      </c>
      <c r="H37" t="s">
        <v>30</v>
      </c>
    </row>
    <row r="38" spans="1:8">
      <c r="A38" t="s">
        <v>36</v>
      </c>
      <c r="B38" t="s">
        <v>218</v>
      </c>
      <c r="C38" s="1" t="s">
        <v>207</v>
      </c>
      <c r="D38" s="1" t="s">
        <v>13</v>
      </c>
      <c r="E38" s="1" t="s">
        <v>171</v>
      </c>
      <c r="F38" s="9" t="s">
        <v>219</v>
      </c>
      <c r="G38" t="str">
        <f t="shared" si="1"/>
        <v>Y</v>
      </c>
      <c r="H38" t="s">
        <v>17</v>
      </c>
    </row>
    <row r="39" spans="1:8">
      <c r="A39" t="s">
        <v>65</v>
      </c>
      <c r="B39" t="s">
        <v>221</v>
      </c>
      <c r="C39" s="1" t="s">
        <v>196</v>
      </c>
      <c r="D39" s="1" t="s">
        <v>13</v>
      </c>
      <c r="E39" s="1" t="s">
        <v>171</v>
      </c>
      <c r="F39" s="1" t="s">
        <v>201</v>
      </c>
      <c r="G39" t="str">
        <f t="shared" si="1"/>
        <v>Y</v>
      </c>
      <c r="H39" t="s">
        <v>49</v>
      </c>
    </row>
    <row r="40" spans="1:8">
      <c r="A40" t="s">
        <v>44</v>
      </c>
      <c r="B40" t="s">
        <v>222</v>
      </c>
      <c r="C40" s="1" t="s">
        <v>8</v>
      </c>
      <c r="D40" s="1" t="s">
        <v>13</v>
      </c>
      <c r="E40" s="1" t="s">
        <v>171</v>
      </c>
      <c r="F40" s="1" t="s">
        <v>201</v>
      </c>
      <c r="G40" t="str">
        <f t="shared" si="1"/>
        <v>Y</v>
      </c>
      <c r="H40" t="s">
        <v>44</v>
      </c>
    </row>
    <row r="41" spans="1:8">
      <c r="A41" t="s">
        <v>66</v>
      </c>
      <c r="B41" t="s">
        <v>223</v>
      </c>
      <c r="C41" s="1" t="s">
        <v>8</v>
      </c>
      <c r="D41" s="1" t="s">
        <v>13</v>
      </c>
      <c r="E41" s="1" t="s">
        <v>171</v>
      </c>
      <c r="F41" s="1" t="s">
        <v>201</v>
      </c>
      <c r="G41" t="str">
        <f t="shared" si="1"/>
        <v>Y</v>
      </c>
      <c r="H41" t="s">
        <v>66</v>
      </c>
    </row>
    <row r="42" spans="1:8">
      <c r="A42" t="s">
        <v>39</v>
      </c>
      <c r="B42" t="s">
        <v>224</v>
      </c>
      <c r="C42" s="1" t="s">
        <v>8</v>
      </c>
      <c r="D42" s="1" t="s">
        <v>13</v>
      </c>
      <c r="E42" s="1" t="s">
        <v>171</v>
      </c>
      <c r="F42" s="1" t="s">
        <v>342</v>
      </c>
      <c r="G42" t="str">
        <f t="shared" si="1"/>
        <v>Y</v>
      </c>
      <c r="H42" t="s">
        <v>39</v>
      </c>
    </row>
    <row r="43" spans="1:8">
      <c r="A43" t="s">
        <v>67</v>
      </c>
      <c r="B43" t="s">
        <v>223</v>
      </c>
      <c r="C43" s="1" t="s">
        <v>8</v>
      </c>
      <c r="D43" s="1" t="s">
        <v>13</v>
      </c>
      <c r="E43" s="1" t="s">
        <v>171</v>
      </c>
      <c r="F43" s="1" t="s">
        <v>201</v>
      </c>
      <c r="G43" t="str">
        <f t="shared" si="1"/>
        <v>Y</v>
      </c>
      <c r="H43" t="s">
        <v>67</v>
      </c>
    </row>
    <row r="44" spans="1:8">
      <c r="A44" t="s">
        <v>40</v>
      </c>
      <c r="B44" t="s">
        <v>225</v>
      </c>
      <c r="C44" s="1" t="s">
        <v>8</v>
      </c>
      <c r="D44" s="1" t="s">
        <v>13</v>
      </c>
      <c r="E44" s="1" t="s">
        <v>171</v>
      </c>
      <c r="F44" s="1" t="s">
        <v>201</v>
      </c>
      <c r="G44" t="str">
        <f t="shared" si="1"/>
        <v>Y</v>
      </c>
      <c r="H44" t="s">
        <v>40</v>
      </c>
    </row>
    <row r="45" spans="1:8">
      <c r="A45" t="s">
        <v>41</v>
      </c>
      <c r="B45" t="s">
        <v>226</v>
      </c>
      <c r="C45" s="1" t="s">
        <v>8</v>
      </c>
      <c r="D45" s="1" t="s">
        <v>13</v>
      </c>
      <c r="E45" s="1" t="s">
        <v>171</v>
      </c>
      <c r="F45" s="1" t="s">
        <v>201</v>
      </c>
      <c r="G45" t="str">
        <f t="shared" si="1"/>
        <v>Y</v>
      </c>
      <c r="H45" t="s">
        <v>41</v>
      </c>
    </row>
    <row r="46" spans="1:8">
      <c r="A46" t="s">
        <v>68</v>
      </c>
      <c r="B46" t="s">
        <v>227</v>
      </c>
      <c r="C46" s="1" t="s">
        <v>8</v>
      </c>
      <c r="D46" s="1" t="s">
        <v>13</v>
      </c>
      <c r="E46" s="1" t="s">
        <v>171</v>
      </c>
      <c r="F46" s="1" t="s">
        <v>201</v>
      </c>
      <c r="G46" t="str">
        <f t="shared" si="1"/>
        <v>Y</v>
      </c>
      <c r="H46" t="s">
        <v>68</v>
      </c>
    </row>
    <row r="47" spans="1:8">
      <c r="A47" t="s">
        <v>42</v>
      </c>
      <c r="B47" t="s">
        <v>228</v>
      </c>
      <c r="C47" s="1" t="s">
        <v>8</v>
      </c>
      <c r="D47" s="1" t="s">
        <v>13</v>
      </c>
      <c r="E47" s="1" t="s">
        <v>171</v>
      </c>
      <c r="F47" s="1" t="s">
        <v>201</v>
      </c>
      <c r="G47" t="str">
        <f t="shared" si="1"/>
        <v>Y</v>
      </c>
      <c r="H47" t="s">
        <v>42</v>
      </c>
    </row>
    <row r="48" spans="1:8">
      <c r="A48" t="s">
        <v>43</v>
      </c>
      <c r="B48" t="s">
        <v>229</v>
      </c>
      <c r="C48" s="1" t="s">
        <v>8</v>
      </c>
      <c r="D48" s="1" t="s">
        <v>13</v>
      </c>
      <c r="E48" s="1" t="s">
        <v>171</v>
      </c>
      <c r="F48" s="1" t="s">
        <v>201</v>
      </c>
      <c r="G48" t="str">
        <f t="shared" si="1"/>
        <v>Y</v>
      </c>
      <c r="H48" t="s">
        <v>43</v>
      </c>
    </row>
    <row r="49" spans="1:8" ht="27.4" hidden="1">
      <c r="A49" t="s">
        <v>45</v>
      </c>
      <c r="B49" t="s">
        <v>230</v>
      </c>
      <c r="C49" s="1" t="s">
        <v>190</v>
      </c>
      <c r="D49" s="1" t="s">
        <v>13</v>
      </c>
      <c r="E49" s="1" t="s">
        <v>171</v>
      </c>
      <c r="F49" s="10" t="s">
        <v>336</v>
      </c>
      <c r="G49" t="str">
        <f t="shared" si="1"/>
        <v>N</v>
      </c>
      <c r="H49" t="s">
        <v>69</v>
      </c>
    </row>
    <row r="50" spans="1:8">
      <c r="A50" t="s">
        <v>69</v>
      </c>
      <c r="B50" t="s">
        <v>231</v>
      </c>
      <c r="C50" s="1" t="s">
        <v>8</v>
      </c>
      <c r="D50" s="1" t="s">
        <v>13</v>
      </c>
      <c r="E50" s="1" t="s">
        <v>171</v>
      </c>
      <c r="F50" s="1" t="s">
        <v>201</v>
      </c>
      <c r="G50" t="str">
        <f t="shared" si="1"/>
        <v>Y</v>
      </c>
      <c r="H50" t="s">
        <v>64</v>
      </c>
    </row>
    <row r="51" spans="1:8" hidden="1">
      <c r="A51" t="s">
        <v>46</v>
      </c>
      <c r="B51" t="s">
        <v>232</v>
      </c>
      <c r="C51" s="1" t="s">
        <v>190</v>
      </c>
      <c r="D51" s="1" t="s">
        <v>13</v>
      </c>
      <c r="E51" s="1" t="s">
        <v>171</v>
      </c>
      <c r="F51" s="1" t="s">
        <v>201</v>
      </c>
      <c r="G51" t="str">
        <f t="shared" si="1"/>
        <v>N</v>
      </c>
      <c r="H51" t="s">
        <v>34</v>
      </c>
    </row>
    <row r="52" spans="1:8" hidden="1">
      <c r="A52" t="s">
        <v>47</v>
      </c>
      <c r="B52" t="s">
        <v>233</v>
      </c>
      <c r="C52" s="1" t="s">
        <v>190</v>
      </c>
      <c r="D52" s="1" t="s">
        <v>13</v>
      </c>
      <c r="E52" s="1" t="s">
        <v>171</v>
      </c>
      <c r="F52" s="1" t="s">
        <v>201</v>
      </c>
      <c r="G52" t="str">
        <f t="shared" si="1"/>
        <v>N</v>
      </c>
      <c r="H52" t="s">
        <v>19</v>
      </c>
    </row>
    <row r="53" spans="1:8">
      <c r="A53" t="s">
        <v>70</v>
      </c>
      <c r="B53" t="s">
        <v>234</v>
      </c>
      <c r="C53" s="1" t="s">
        <v>207</v>
      </c>
      <c r="D53" s="1" t="s">
        <v>13</v>
      </c>
      <c r="E53" s="1" t="s">
        <v>171</v>
      </c>
      <c r="F53" s="1" t="s">
        <v>201</v>
      </c>
      <c r="G53" t="str">
        <f t="shared" si="1"/>
        <v>Y</v>
      </c>
      <c r="H53" t="s">
        <v>20</v>
      </c>
    </row>
    <row r="54" spans="1:8">
      <c r="A54" t="s">
        <v>71</v>
      </c>
      <c r="B54" t="s">
        <v>234</v>
      </c>
      <c r="C54" s="1" t="s">
        <v>207</v>
      </c>
      <c r="D54" s="1" t="s">
        <v>13</v>
      </c>
      <c r="E54" s="1" t="s">
        <v>171</v>
      </c>
      <c r="F54" s="1" t="s">
        <v>201</v>
      </c>
      <c r="G54" t="str">
        <f t="shared" si="1"/>
        <v>Y</v>
      </c>
      <c r="H54" t="s">
        <v>71</v>
      </c>
    </row>
    <row r="55" spans="1:8" hidden="1">
      <c r="A55" t="s">
        <v>72</v>
      </c>
      <c r="B55" t="s">
        <v>235</v>
      </c>
      <c r="C55" s="1" t="s">
        <v>207</v>
      </c>
      <c r="D55" s="1" t="s">
        <v>13</v>
      </c>
      <c r="E55" s="1" t="s">
        <v>171</v>
      </c>
      <c r="F55" s="1" t="s">
        <v>201</v>
      </c>
      <c r="G55" t="str">
        <f t="shared" si="1"/>
        <v>N</v>
      </c>
      <c r="H55" t="s">
        <v>70</v>
      </c>
    </row>
    <row r="56" spans="1:8" hidden="1">
      <c r="A56" t="s">
        <v>73</v>
      </c>
      <c r="B56" t="s">
        <v>236</v>
      </c>
      <c r="C56" s="1" t="s">
        <v>207</v>
      </c>
      <c r="D56" s="1" t="s">
        <v>13</v>
      </c>
      <c r="E56" s="1" t="s">
        <v>171</v>
      </c>
      <c r="F56" s="5" t="s">
        <v>337</v>
      </c>
      <c r="G56" t="str">
        <f t="shared" si="1"/>
        <v>N</v>
      </c>
      <c r="H56" t="s">
        <v>15</v>
      </c>
    </row>
    <row r="57" spans="1:8">
      <c r="A57" t="s">
        <v>74</v>
      </c>
      <c r="B57" t="s">
        <v>237</v>
      </c>
      <c r="C57" s="1" t="s">
        <v>196</v>
      </c>
      <c r="D57" s="1" t="s">
        <v>13</v>
      </c>
      <c r="E57" s="1" t="s">
        <v>171</v>
      </c>
      <c r="F57" s="1" t="s">
        <v>201</v>
      </c>
      <c r="G57" t="str">
        <f t="shared" si="1"/>
        <v>Y</v>
      </c>
    </row>
    <row r="58" spans="1:8">
      <c r="A58" t="s">
        <v>75</v>
      </c>
      <c r="B58" t="s">
        <v>238</v>
      </c>
      <c r="C58" s="1" t="s">
        <v>6</v>
      </c>
      <c r="D58" s="1" t="s">
        <v>13</v>
      </c>
      <c r="E58" s="1" t="s">
        <v>171</v>
      </c>
      <c r="F58" s="1" t="s">
        <v>201</v>
      </c>
      <c r="G58" t="str">
        <f t="shared" si="1"/>
        <v>Y</v>
      </c>
    </row>
    <row r="59" spans="1:8" hidden="1">
      <c r="A59" t="s">
        <v>76</v>
      </c>
      <c r="B59" t="s">
        <v>332</v>
      </c>
      <c r="C59" s="1" t="s">
        <v>8</v>
      </c>
      <c r="D59" s="1" t="s">
        <v>13</v>
      </c>
      <c r="E59" s="1" t="s">
        <v>171</v>
      </c>
      <c r="F59" s="1" t="s">
        <v>201</v>
      </c>
      <c r="G59" t="str">
        <f t="shared" si="1"/>
        <v>N</v>
      </c>
    </row>
    <row r="60" spans="1:8" hidden="1">
      <c r="A60" t="s">
        <v>77</v>
      </c>
      <c r="B60" t="s">
        <v>239</v>
      </c>
      <c r="C60" s="1" t="s">
        <v>8</v>
      </c>
      <c r="D60" s="1" t="s">
        <v>13</v>
      </c>
      <c r="E60" s="1" t="s">
        <v>171</v>
      </c>
      <c r="F60" s="1" t="s">
        <v>201</v>
      </c>
      <c r="G60" t="str">
        <f t="shared" si="1"/>
        <v>N</v>
      </c>
    </row>
    <row r="61" spans="1:8" hidden="1">
      <c r="A61" t="s">
        <v>78</v>
      </c>
      <c r="B61" t="s">
        <v>240</v>
      </c>
      <c r="C61" s="1" t="s">
        <v>6</v>
      </c>
      <c r="D61" s="1" t="s">
        <v>13</v>
      </c>
      <c r="E61" s="1" t="s">
        <v>171</v>
      </c>
      <c r="F61" t="s">
        <v>201</v>
      </c>
      <c r="G61" t="str">
        <f t="shared" si="1"/>
        <v>N</v>
      </c>
    </row>
    <row r="62" spans="1:8" hidden="1">
      <c r="A62" t="s">
        <v>79</v>
      </c>
      <c r="B62" t="s">
        <v>241</v>
      </c>
      <c r="C62" s="1" t="s">
        <v>207</v>
      </c>
      <c r="D62" s="1" t="s">
        <v>13</v>
      </c>
      <c r="E62" s="1" t="s">
        <v>171</v>
      </c>
      <c r="F62" t="s">
        <v>201</v>
      </c>
      <c r="G62" t="str">
        <f t="shared" si="1"/>
        <v>N</v>
      </c>
    </row>
    <row r="63" spans="1:8" hidden="1">
      <c r="A63" t="s">
        <v>80</v>
      </c>
      <c r="B63" t="s">
        <v>242</v>
      </c>
      <c r="C63" s="1" t="s">
        <v>8</v>
      </c>
      <c r="D63" s="1" t="s">
        <v>13</v>
      </c>
      <c r="E63" s="1" t="s">
        <v>171</v>
      </c>
      <c r="F63" s="1" t="s">
        <v>201</v>
      </c>
      <c r="G63" t="str">
        <f t="shared" si="1"/>
        <v>N</v>
      </c>
    </row>
    <row r="64" spans="1:8" hidden="1">
      <c r="A64" t="s">
        <v>81</v>
      </c>
      <c r="B64" t="s">
        <v>243</v>
      </c>
      <c r="C64" s="1" t="s">
        <v>8</v>
      </c>
      <c r="D64" s="1" t="s">
        <v>13</v>
      </c>
      <c r="E64" s="1" t="s">
        <v>171</v>
      </c>
      <c r="F64" s="1" t="s">
        <v>201</v>
      </c>
      <c r="G64" t="str">
        <f t="shared" si="1"/>
        <v>N</v>
      </c>
    </row>
    <row r="65" spans="1:7" hidden="1">
      <c r="A65" t="s">
        <v>82</v>
      </c>
      <c r="B65" t="s">
        <v>244</v>
      </c>
      <c r="C65" s="1" t="s">
        <v>207</v>
      </c>
      <c r="D65" s="1" t="s">
        <v>13</v>
      </c>
      <c r="E65" s="1" t="s">
        <v>171</v>
      </c>
      <c r="F65" s="1" t="s">
        <v>201</v>
      </c>
      <c r="G65" t="str">
        <f t="shared" si="1"/>
        <v>N</v>
      </c>
    </row>
    <row r="66" spans="1:7" hidden="1">
      <c r="A66" t="s">
        <v>83</v>
      </c>
      <c r="B66" t="s">
        <v>245</v>
      </c>
      <c r="C66" s="1" t="s">
        <v>207</v>
      </c>
      <c r="D66" s="1" t="s">
        <v>13</v>
      </c>
      <c r="E66" s="1" t="s">
        <v>171</v>
      </c>
      <c r="F66" s="1" t="s">
        <v>201</v>
      </c>
      <c r="G66" t="str">
        <f t="shared" ref="G66:G97" si="2">IF(ISNUMBER(MATCH(A66, H:H, 0)), "Y", "N")</f>
        <v>N</v>
      </c>
    </row>
    <row r="67" spans="1:7" hidden="1">
      <c r="A67" t="s">
        <v>84</v>
      </c>
      <c r="B67" t="s">
        <v>246</v>
      </c>
      <c r="C67" s="1" t="s">
        <v>207</v>
      </c>
      <c r="D67" s="1" t="s">
        <v>13</v>
      </c>
      <c r="E67" s="1" t="s">
        <v>171</v>
      </c>
      <c r="F67" s="1" t="s">
        <v>201</v>
      </c>
      <c r="G67" t="str">
        <f t="shared" si="2"/>
        <v>N</v>
      </c>
    </row>
    <row r="68" spans="1:7" hidden="1">
      <c r="A68" t="s">
        <v>85</v>
      </c>
      <c r="B68" t="s">
        <v>247</v>
      </c>
      <c r="C68" s="1" t="s">
        <v>207</v>
      </c>
      <c r="D68" s="1" t="s">
        <v>13</v>
      </c>
      <c r="E68" s="1" t="s">
        <v>171</v>
      </c>
      <c r="F68" s="1" t="s">
        <v>201</v>
      </c>
      <c r="G68" t="str">
        <f t="shared" si="2"/>
        <v>N</v>
      </c>
    </row>
    <row r="69" spans="1:7" hidden="1">
      <c r="A69" t="s">
        <v>86</v>
      </c>
      <c r="B69" t="s">
        <v>248</v>
      </c>
      <c r="C69" s="1" t="s">
        <v>207</v>
      </c>
      <c r="D69" s="1" t="s">
        <v>13</v>
      </c>
      <c r="E69" s="1" t="s">
        <v>171</v>
      </c>
      <c r="F69" s="1" t="s">
        <v>201</v>
      </c>
      <c r="G69" t="str">
        <f t="shared" si="2"/>
        <v>N</v>
      </c>
    </row>
    <row r="70" spans="1:7" hidden="1">
      <c r="A70" t="s">
        <v>87</v>
      </c>
      <c r="B70" t="s">
        <v>249</v>
      </c>
      <c r="C70" s="1" t="s">
        <v>207</v>
      </c>
      <c r="D70" s="1" t="s">
        <v>13</v>
      </c>
      <c r="E70" s="1" t="s">
        <v>171</v>
      </c>
      <c r="F70" s="1" t="s">
        <v>201</v>
      </c>
      <c r="G70" t="str">
        <f t="shared" si="2"/>
        <v>N</v>
      </c>
    </row>
    <row r="71" spans="1:7" hidden="1">
      <c r="A71" t="s">
        <v>88</v>
      </c>
      <c r="B71" t="s">
        <v>250</v>
      </c>
      <c r="C71" s="1" t="s">
        <v>8</v>
      </c>
      <c r="D71" s="1" t="s">
        <v>13</v>
      </c>
      <c r="E71" s="1" t="s">
        <v>171</v>
      </c>
      <c r="F71" s="1" t="s">
        <v>333</v>
      </c>
      <c r="G71" t="str">
        <f t="shared" si="2"/>
        <v>N</v>
      </c>
    </row>
    <row r="72" spans="1:7" hidden="1">
      <c r="A72" t="s">
        <v>89</v>
      </c>
      <c r="B72" t="s">
        <v>251</v>
      </c>
      <c r="C72" s="1" t="s">
        <v>207</v>
      </c>
      <c r="D72" s="1" t="s">
        <v>13</v>
      </c>
      <c r="E72" s="1" t="s">
        <v>171</v>
      </c>
      <c r="F72" s="1" t="s">
        <v>201</v>
      </c>
      <c r="G72" t="str">
        <f t="shared" si="2"/>
        <v>N</v>
      </c>
    </row>
    <row r="73" spans="1:7" hidden="1">
      <c r="A73" t="s">
        <v>90</v>
      </c>
      <c r="B73" t="s">
        <v>252</v>
      </c>
      <c r="C73" s="1" t="s">
        <v>207</v>
      </c>
      <c r="D73" s="1" t="s">
        <v>13</v>
      </c>
      <c r="E73" s="1" t="s">
        <v>171</v>
      </c>
      <c r="F73" t="s">
        <v>201</v>
      </c>
      <c r="G73" t="str">
        <f t="shared" si="2"/>
        <v>N</v>
      </c>
    </row>
    <row r="74" spans="1:7" hidden="1">
      <c r="A74" t="s">
        <v>91</v>
      </c>
      <c r="B74" t="s">
        <v>253</v>
      </c>
      <c r="C74" s="1" t="s">
        <v>207</v>
      </c>
      <c r="D74" s="1" t="s">
        <v>13</v>
      </c>
      <c r="E74" s="1" t="s">
        <v>171</v>
      </c>
      <c r="F74" s="1" t="s">
        <v>334</v>
      </c>
      <c r="G74" t="str">
        <f t="shared" si="2"/>
        <v>N</v>
      </c>
    </row>
    <row r="75" spans="1:7" hidden="1">
      <c r="A75" t="s">
        <v>92</v>
      </c>
      <c r="B75" t="s">
        <v>254</v>
      </c>
      <c r="C75" s="1" t="s">
        <v>207</v>
      </c>
      <c r="D75" s="1" t="s">
        <v>13</v>
      </c>
      <c r="E75" s="1" t="s">
        <v>171</v>
      </c>
      <c r="F75" t="s">
        <v>201</v>
      </c>
      <c r="G75" t="str">
        <f t="shared" si="2"/>
        <v>N</v>
      </c>
    </row>
    <row r="76" spans="1:7" hidden="1">
      <c r="A76" t="s">
        <v>93</v>
      </c>
      <c r="B76" t="s">
        <v>255</v>
      </c>
      <c r="C76" s="1" t="s">
        <v>207</v>
      </c>
      <c r="D76" s="1" t="s">
        <v>13</v>
      </c>
      <c r="E76" s="1" t="s">
        <v>171</v>
      </c>
      <c r="F76" s="1" t="s">
        <v>334</v>
      </c>
      <c r="G76" t="str">
        <f t="shared" si="2"/>
        <v>N</v>
      </c>
    </row>
    <row r="77" spans="1:7" hidden="1">
      <c r="A77" t="s">
        <v>94</v>
      </c>
      <c r="B77" t="s">
        <v>256</v>
      </c>
      <c r="C77" s="1" t="s">
        <v>207</v>
      </c>
      <c r="D77" s="1" t="s">
        <v>13</v>
      </c>
      <c r="E77" s="1" t="s">
        <v>171</v>
      </c>
      <c r="F77" t="s">
        <v>201</v>
      </c>
      <c r="G77" t="str">
        <f t="shared" si="2"/>
        <v>N</v>
      </c>
    </row>
    <row r="78" spans="1:7" hidden="1">
      <c r="A78" t="s">
        <v>95</v>
      </c>
      <c r="B78" t="s">
        <v>257</v>
      </c>
      <c r="C78" s="1" t="s">
        <v>207</v>
      </c>
      <c r="D78" s="1" t="s">
        <v>13</v>
      </c>
      <c r="E78" s="1" t="s">
        <v>171</v>
      </c>
      <c r="F78" t="s">
        <v>201</v>
      </c>
      <c r="G78" t="str">
        <f t="shared" si="2"/>
        <v>N</v>
      </c>
    </row>
    <row r="79" spans="1:7" hidden="1">
      <c r="A79" t="s">
        <v>96</v>
      </c>
      <c r="B79" t="s">
        <v>258</v>
      </c>
      <c r="C79" s="1" t="s">
        <v>207</v>
      </c>
      <c r="D79" s="1" t="s">
        <v>13</v>
      </c>
      <c r="E79" s="1" t="s">
        <v>171</v>
      </c>
      <c r="F79" t="s">
        <v>201</v>
      </c>
      <c r="G79" t="str">
        <f t="shared" si="2"/>
        <v>N</v>
      </c>
    </row>
    <row r="80" spans="1:7" hidden="1">
      <c r="A80" t="s">
        <v>97</v>
      </c>
      <c r="B80" t="s">
        <v>259</v>
      </c>
      <c r="C80" s="1" t="s">
        <v>207</v>
      </c>
      <c r="D80" s="1" t="s">
        <v>13</v>
      </c>
      <c r="E80" s="1" t="s">
        <v>171</v>
      </c>
      <c r="F80" t="s">
        <v>201</v>
      </c>
      <c r="G80" t="str">
        <f t="shared" si="2"/>
        <v>N</v>
      </c>
    </row>
    <row r="81" spans="1:7" hidden="1">
      <c r="A81" t="s">
        <v>98</v>
      </c>
      <c r="B81" t="s">
        <v>260</v>
      </c>
      <c r="C81" s="1" t="s">
        <v>8</v>
      </c>
      <c r="D81" s="1" t="s">
        <v>13</v>
      </c>
      <c r="E81" s="1" t="s">
        <v>171</v>
      </c>
      <c r="F81" t="s">
        <v>201</v>
      </c>
      <c r="G81" t="str">
        <f t="shared" si="2"/>
        <v>N</v>
      </c>
    </row>
    <row r="82" spans="1:7" hidden="1">
      <c r="A82" t="s">
        <v>99</v>
      </c>
      <c r="B82" t="s">
        <v>261</v>
      </c>
      <c r="C82" s="1" t="s">
        <v>8</v>
      </c>
      <c r="D82" s="1" t="s">
        <v>13</v>
      </c>
      <c r="E82" s="1" t="s">
        <v>171</v>
      </c>
      <c r="F82" t="s">
        <v>201</v>
      </c>
      <c r="G82" t="str">
        <f t="shared" si="2"/>
        <v>N</v>
      </c>
    </row>
    <row r="83" spans="1:7" hidden="1">
      <c r="A83" t="s">
        <v>100</v>
      </c>
      <c r="B83" t="s">
        <v>262</v>
      </c>
      <c r="C83" s="1" t="s">
        <v>8</v>
      </c>
      <c r="D83" s="1" t="s">
        <v>13</v>
      </c>
      <c r="E83" s="1" t="s">
        <v>171</v>
      </c>
      <c r="F83" t="s">
        <v>201</v>
      </c>
      <c r="G83" t="str">
        <f t="shared" si="2"/>
        <v>N</v>
      </c>
    </row>
    <row r="84" spans="1:7" hidden="1">
      <c r="A84" t="s">
        <v>101</v>
      </c>
      <c r="B84" t="s">
        <v>263</v>
      </c>
      <c r="C84" s="1" t="s">
        <v>207</v>
      </c>
      <c r="D84" s="1" t="s">
        <v>13</v>
      </c>
      <c r="E84" s="1" t="s">
        <v>171</v>
      </c>
      <c r="F84" t="s">
        <v>201</v>
      </c>
      <c r="G84" t="str">
        <f t="shared" si="2"/>
        <v>N</v>
      </c>
    </row>
    <row r="85" spans="1:7" hidden="1">
      <c r="A85" t="s">
        <v>102</v>
      </c>
      <c r="B85" t="s">
        <v>264</v>
      </c>
      <c r="C85" s="1" t="s">
        <v>8</v>
      </c>
      <c r="D85" s="1" t="s">
        <v>13</v>
      </c>
      <c r="E85" s="1" t="s">
        <v>171</v>
      </c>
      <c r="F85" t="s">
        <v>201</v>
      </c>
      <c r="G85" t="str">
        <f t="shared" si="2"/>
        <v>N</v>
      </c>
    </row>
    <row r="86" spans="1:7" hidden="1">
      <c r="A86" t="s">
        <v>103</v>
      </c>
      <c r="B86" t="s">
        <v>265</v>
      </c>
      <c r="C86" s="1" t="s">
        <v>190</v>
      </c>
      <c r="D86" s="1" t="s">
        <v>13</v>
      </c>
      <c r="E86" s="1" t="s">
        <v>171</v>
      </c>
      <c r="F86" t="s">
        <v>201</v>
      </c>
      <c r="G86" t="str">
        <f t="shared" si="2"/>
        <v>N</v>
      </c>
    </row>
    <row r="87" spans="1:7" hidden="1">
      <c r="A87" t="s">
        <v>104</v>
      </c>
      <c r="B87" t="s">
        <v>266</v>
      </c>
      <c r="C87" s="1" t="s">
        <v>190</v>
      </c>
      <c r="D87" s="1" t="s">
        <v>13</v>
      </c>
      <c r="E87" s="1" t="s">
        <v>171</v>
      </c>
      <c r="F87" t="s">
        <v>201</v>
      </c>
      <c r="G87" t="str">
        <f t="shared" si="2"/>
        <v>N</v>
      </c>
    </row>
    <row r="88" spans="1:7" hidden="1">
      <c r="A88" t="s">
        <v>105</v>
      </c>
      <c r="B88" t="s">
        <v>267</v>
      </c>
      <c r="C88" s="1" t="s">
        <v>190</v>
      </c>
      <c r="D88" s="1" t="s">
        <v>13</v>
      </c>
      <c r="E88" s="1" t="s">
        <v>171</v>
      </c>
      <c r="F88" t="s">
        <v>201</v>
      </c>
      <c r="G88" t="str">
        <f t="shared" si="2"/>
        <v>N</v>
      </c>
    </row>
    <row r="89" spans="1:7" hidden="1">
      <c r="A89" t="s">
        <v>106</v>
      </c>
      <c r="B89" t="s">
        <v>268</v>
      </c>
      <c r="C89" s="1" t="s">
        <v>190</v>
      </c>
      <c r="D89" s="1" t="s">
        <v>13</v>
      </c>
      <c r="E89" s="1" t="s">
        <v>171</v>
      </c>
      <c r="F89" t="s">
        <v>201</v>
      </c>
      <c r="G89" t="str">
        <f t="shared" si="2"/>
        <v>N</v>
      </c>
    </row>
    <row r="90" spans="1:7" hidden="1">
      <c r="A90" t="s">
        <v>107</v>
      </c>
      <c r="B90" t="s">
        <v>269</v>
      </c>
      <c r="C90" s="1" t="s">
        <v>207</v>
      </c>
      <c r="D90" s="1" t="s">
        <v>13</v>
      </c>
      <c r="E90" s="1" t="s">
        <v>171</v>
      </c>
      <c r="F90" t="s">
        <v>201</v>
      </c>
      <c r="G90" t="str">
        <f t="shared" si="2"/>
        <v>N</v>
      </c>
    </row>
    <row r="91" spans="1:7" hidden="1">
      <c r="A91" t="s">
        <v>108</v>
      </c>
      <c r="B91" t="s">
        <v>270</v>
      </c>
      <c r="C91" s="1" t="s">
        <v>207</v>
      </c>
      <c r="D91" s="1" t="s">
        <v>13</v>
      </c>
      <c r="E91" s="1" t="s">
        <v>171</v>
      </c>
      <c r="F91" t="s">
        <v>201</v>
      </c>
      <c r="G91" t="str">
        <f t="shared" si="2"/>
        <v>N</v>
      </c>
    </row>
    <row r="92" spans="1:7" hidden="1">
      <c r="A92" t="s">
        <v>109</v>
      </c>
      <c r="B92" t="s">
        <v>271</v>
      </c>
      <c r="C92" s="1" t="s">
        <v>207</v>
      </c>
      <c r="D92" s="1" t="s">
        <v>13</v>
      </c>
      <c r="E92" s="1" t="s">
        <v>171</v>
      </c>
      <c r="F92" t="s">
        <v>201</v>
      </c>
      <c r="G92" t="str">
        <f t="shared" si="2"/>
        <v>N</v>
      </c>
    </row>
    <row r="93" spans="1:7" hidden="1">
      <c r="A93" t="s">
        <v>110</v>
      </c>
      <c r="B93" t="s">
        <v>272</v>
      </c>
      <c r="C93" s="1" t="s">
        <v>207</v>
      </c>
      <c r="D93" s="1" t="s">
        <v>13</v>
      </c>
      <c r="E93" s="1" t="s">
        <v>171</v>
      </c>
      <c r="F93" t="s">
        <v>201</v>
      </c>
      <c r="G93" t="str">
        <f t="shared" si="2"/>
        <v>N</v>
      </c>
    </row>
    <row r="94" spans="1:7" hidden="1">
      <c r="A94" t="s">
        <v>111</v>
      </c>
      <c r="B94" t="s">
        <v>273</v>
      </c>
      <c r="C94" s="1" t="s">
        <v>207</v>
      </c>
      <c r="D94" s="1" t="s">
        <v>13</v>
      </c>
      <c r="E94" s="1" t="s">
        <v>171</v>
      </c>
      <c r="F94" t="s">
        <v>201</v>
      </c>
      <c r="G94" t="str">
        <f t="shared" si="2"/>
        <v>N</v>
      </c>
    </row>
    <row r="95" spans="1:7" hidden="1">
      <c r="A95" t="s">
        <v>112</v>
      </c>
      <c r="B95" t="s">
        <v>274</v>
      </c>
      <c r="C95" s="1" t="s">
        <v>207</v>
      </c>
      <c r="D95" s="1" t="s">
        <v>13</v>
      </c>
      <c r="E95" s="1" t="s">
        <v>171</v>
      </c>
      <c r="F95" t="s">
        <v>201</v>
      </c>
      <c r="G95" t="str">
        <f t="shared" si="2"/>
        <v>N</v>
      </c>
    </row>
    <row r="96" spans="1:7" hidden="1">
      <c r="A96" t="s">
        <v>113</v>
      </c>
      <c r="B96" t="s">
        <v>275</v>
      </c>
      <c r="C96" s="1" t="s">
        <v>207</v>
      </c>
      <c r="D96" s="1" t="s">
        <v>13</v>
      </c>
      <c r="E96" s="1" t="s">
        <v>171</v>
      </c>
      <c r="F96" t="s">
        <v>201</v>
      </c>
      <c r="G96" t="str">
        <f t="shared" si="2"/>
        <v>N</v>
      </c>
    </row>
    <row r="97" spans="1:7" hidden="1">
      <c r="A97" t="s">
        <v>114</v>
      </c>
      <c r="B97" t="s">
        <v>276</v>
      </c>
      <c r="C97" s="1" t="s">
        <v>207</v>
      </c>
      <c r="D97" s="1" t="s">
        <v>13</v>
      </c>
      <c r="E97" s="1" t="s">
        <v>171</v>
      </c>
      <c r="F97" t="s">
        <v>201</v>
      </c>
      <c r="G97" t="str">
        <f t="shared" si="2"/>
        <v>N</v>
      </c>
    </row>
    <row r="98" spans="1:7" hidden="1">
      <c r="A98" t="s">
        <v>115</v>
      </c>
      <c r="B98" t="s">
        <v>277</v>
      </c>
      <c r="C98" s="1" t="s">
        <v>207</v>
      </c>
      <c r="D98" s="1" t="s">
        <v>13</v>
      </c>
      <c r="E98" s="1" t="s">
        <v>171</v>
      </c>
      <c r="F98" t="s">
        <v>201</v>
      </c>
      <c r="G98" t="str">
        <f t="shared" ref="G98:G129" si="3">IF(ISNUMBER(MATCH(A98, H:H, 0)), "Y", "N")</f>
        <v>N</v>
      </c>
    </row>
    <row r="99" spans="1:7" hidden="1">
      <c r="A99" t="s">
        <v>116</v>
      </c>
      <c r="B99" t="s">
        <v>278</v>
      </c>
      <c r="C99" s="1" t="s">
        <v>207</v>
      </c>
      <c r="D99" s="1" t="s">
        <v>13</v>
      </c>
      <c r="E99" s="1" t="s">
        <v>171</v>
      </c>
      <c r="F99" t="s">
        <v>201</v>
      </c>
      <c r="G99" t="str">
        <f t="shared" si="3"/>
        <v>N</v>
      </c>
    </row>
    <row r="100" spans="1:7" hidden="1">
      <c r="A100" t="s">
        <v>117</v>
      </c>
      <c r="B100" t="s">
        <v>279</v>
      </c>
      <c r="C100" s="1" t="s">
        <v>207</v>
      </c>
      <c r="D100" s="1" t="s">
        <v>13</v>
      </c>
      <c r="E100" s="1" t="s">
        <v>171</v>
      </c>
      <c r="F100" t="s">
        <v>201</v>
      </c>
      <c r="G100" t="str">
        <f t="shared" si="3"/>
        <v>N</v>
      </c>
    </row>
    <row r="101" spans="1:7" hidden="1">
      <c r="A101" t="s">
        <v>118</v>
      </c>
      <c r="B101" t="s">
        <v>280</v>
      </c>
      <c r="C101" s="1" t="s">
        <v>207</v>
      </c>
      <c r="D101" s="1" t="s">
        <v>13</v>
      </c>
      <c r="E101" s="1" t="s">
        <v>171</v>
      </c>
      <c r="F101" t="s">
        <v>201</v>
      </c>
      <c r="G101" t="str">
        <f t="shared" si="3"/>
        <v>N</v>
      </c>
    </row>
    <row r="102" spans="1:7" hidden="1">
      <c r="A102" t="s">
        <v>119</v>
      </c>
      <c r="B102" t="s">
        <v>281</v>
      </c>
      <c r="C102" s="1" t="s">
        <v>207</v>
      </c>
      <c r="D102" s="1" t="s">
        <v>13</v>
      </c>
      <c r="E102" s="1" t="s">
        <v>171</v>
      </c>
      <c r="F102" t="s">
        <v>201</v>
      </c>
      <c r="G102" t="str">
        <f t="shared" si="3"/>
        <v>N</v>
      </c>
    </row>
    <row r="103" spans="1:7" hidden="1">
      <c r="A103" t="s">
        <v>120</v>
      </c>
      <c r="B103" t="s">
        <v>282</v>
      </c>
      <c r="C103" s="1" t="s">
        <v>207</v>
      </c>
      <c r="D103" s="1" t="s">
        <v>13</v>
      </c>
      <c r="E103" s="1" t="s">
        <v>171</v>
      </c>
      <c r="F103" t="s">
        <v>201</v>
      </c>
      <c r="G103" t="str">
        <f t="shared" si="3"/>
        <v>N</v>
      </c>
    </row>
    <row r="104" spans="1:7" hidden="1">
      <c r="A104" t="s">
        <v>121</v>
      </c>
      <c r="B104" t="s">
        <v>283</v>
      </c>
      <c r="C104" s="1" t="s">
        <v>207</v>
      </c>
      <c r="D104" s="1" t="s">
        <v>13</v>
      </c>
      <c r="E104" s="1" t="s">
        <v>171</v>
      </c>
      <c r="F104" t="s">
        <v>201</v>
      </c>
      <c r="G104" t="str">
        <f t="shared" si="3"/>
        <v>N</v>
      </c>
    </row>
    <row r="105" spans="1:7" hidden="1">
      <c r="A105" t="s">
        <v>122</v>
      </c>
      <c r="B105" t="s">
        <v>284</v>
      </c>
      <c r="C105" s="1" t="s">
        <v>207</v>
      </c>
      <c r="D105" s="1" t="s">
        <v>13</v>
      </c>
      <c r="E105" s="1" t="s">
        <v>171</v>
      </c>
      <c r="F105" t="s">
        <v>201</v>
      </c>
      <c r="G105" t="str">
        <f t="shared" si="3"/>
        <v>N</v>
      </c>
    </row>
    <row r="106" spans="1:7" hidden="1">
      <c r="A106" t="s">
        <v>123</v>
      </c>
      <c r="B106" t="s">
        <v>285</v>
      </c>
      <c r="C106" s="1" t="s">
        <v>207</v>
      </c>
      <c r="D106" s="1" t="s">
        <v>13</v>
      </c>
      <c r="E106" s="1" t="s">
        <v>171</v>
      </c>
      <c r="F106" t="s">
        <v>201</v>
      </c>
      <c r="G106" t="str">
        <f t="shared" si="3"/>
        <v>N</v>
      </c>
    </row>
    <row r="107" spans="1:7" hidden="1">
      <c r="A107" t="s">
        <v>124</v>
      </c>
      <c r="B107" t="s">
        <v>286</v>
      </c>
      <c r="C107" s="1" t="s">
        <v>207</v>
      </c>
      <c r="D107" s="1" t="s">
        <v>13</v>
      </c>
      <c r="E107" s="1" t="s">
        <v>171</v>
      </c>
      <c r="F107" t="s">
        <v>201</v>
      </c>
      <c r="G107" t="str">
        <f t="shared" si="3"/>
        <v>N</v>
      </c>
    </row>
    <row r="108" spans="1:7" hidden="1">
      <c r="A108" t="s">
        <v>125</v>
      </c>
      <c r="B108" t="s">
        <v>287</v>
      </c>
      <c r="C108" s="1" t="s">
        <v>207</v>
      </c>
      <c r="D108" s="1" t="s">
        <v>13</v>
      </c>
      <c r="E108" s="1" t="s">
        <v>171</v>
      </c>
      <c r="F108" t="s">
        <v>201</v>
      </c>
      <c r="G108" t="str">
        <f t="shared" si="3"/>
        <v>N</v>
      </c>
    </row>
    <row r="109" spans="1:7" hidden="1">
      <c r="A109" t="s">
        <v>126</v>
      </c>
      <c r="B109" t="s">
        <v>288</v>
      </c>
      <c r="C109" s="1" t="s">
        <v>8</v>
      </c>
      <c r="D109" s="1" t="s">
        <v>13</v>
      </c>
      <c r="E109" s="1" t="s">
        <v>171</v>
      </c>
      <c r="F109" t="s">
        <v>201</v>
      </c>
      <c r="G109" t="str">
        <f t="shared" si="3"/>
        <v>N</v>
      </c>
    </row>
    <row r="110" spans="1:7" hidden="1">
      <c r="A110" t="s">
        <v>127</v>
      </c>
      <c r="B110" t="s">
        <v>289</v>
      </c>
      <c r="C110" s="1" t="s">
        <v>8</v>
      </c>
      <c r="D110" s="1" t="s">
        <v>13</v>
      </c>
      <c r="E110" s="1" t="s">
        <v>171</v>
      </c>
      <c r="F110" t="s">
        <v>201</v>
      </c>
      <c r="G110" t="str">
        <f t="shared" si="3"/>
        <v>N</v>
      </c>
    </row>
    <row r="111" spans="1:7" hidden="1">
      <c r="A111" t="s">
        <v>128</v>
      </c>
      <c r="B111" t="s">
        <v>290</v>
      </c>
      <c r="C111" s="1" t="s">
        <v>207</v>
      </c>
      <c r="D111" s="1" t="s">
        <v>13</v>
      </c>
      <c r="E111" s="1" t="s">
        <v>171</v>
      </c>
      <c r="F111" t="s">
        <v>201</v>
      </c>
      <c r="G111" t="str">
        <f t="shared" si="3"/>
        <v>N</v>
      </c>
    </row>
    <row r="112" spans="1:7" hidden="1">
      <c r="A112" t="s">
        <v>129</v>
      </c>
      <c r="B112" t="s">
        <v>291</v>
      </c>
      <c r="C112" s="1" t="s">
        <v>207</v>
      </c>
      <c r="D112" s="1" t="s">
        <v>13</v>
      </c>
      <c r="E112" s="1" t="s">
        <v>171</v>
      </c>
      <c r="F112" t="s">
        <v>201</v>
      </c>
      <c r="G112" t="str">
        <f t="shared" si="3"/>
        <v>N</v>
      </c>
    </row>
    <row r="113" spans="1:7" hidden="1">
      <c r="A113" t="s">
        <v>130</v>
      </c>
      <c r="B113" t="s">
        <v>292</v>
      </c>
      <c r="C113" s="1" t="s">
        <v>207</v>
      </c>
      <c r="D113" s="1" t="s">
        <v>13</v>
      </c>
      <c r="E113" s="1" t="s">
        <v>171</v>
      </c>
      <c r="F113" t="s">
        <v>201</v>
      </c>
      <c r="G113" t="str">
        <f t="shared" si="3"/>
        <v>N</v>
      </c>
    </row>
    <row r="114" spans="1:7" hidden="1">
      <c r="A114" t="s">
        <v>131</v>
      </c>
      <c r="B114" t="s">
        <v>293</v>
      </c>
      <c r="C114" s="1" t="s">
        <v>207</v>
      </c>
      <c r="D114" s="1" t="s">
        <v>13</v>
      </c>
      <c r="E114" s="1" t="s">
        <v>171</v>
      </c>
      <c r="F114" t="s">
        <v>201</v>
      </c>
      <c r="G114" t="str">
        <f t="shared" si="3"/>
        <v>N</v>
      </c>
    </row>
    <row r="115" spans="1:7" hidden="1">
      <c r="A115" t="s">
        <v>132</v>
      </c>
      <c r="B115" t="s">
        <v>294</v>
      </c>
      <c r="C115" s="1" t="s">
        <v>207</v>
      </c>
      <c r="D115" s="1" t="s">
        <v>13</v>
      </c>
      <c r="E115" s="1" t="s">
        <v>171</v>
      </c>
      <c r="F115" t="s">
        <v>201</v>
      </c>
      <c r="G115" t="str">
        <f t="shared" si="3"/>
        <v>N</v>
      </c>
    </row>
    <row r="116" spans="1:7" hidden="1">
      <c r="A116" t="s">
        <v>133</v>
      </c>
      <c r="B116" t="s">
        <v>295</v>
      </c>
      <c r="C116" s="1" t="s">
        <v>207</v>
      </c>
      <c r="D116" s="1" t="s">
        <v>13</v>
      </c>
      <c r="E116" s="1" t="s">
        <v>171</v>
      </c>
      <c r="F116" t="s">
        <v>201</v>
      </c>
      <c r="G116" t="str">
        <f t="shared" si="3"/>
        <v>N</v>
      </c>
    </row>
    <row r="117" spans="1:7" hidden="1">
      <c r="A117" t="s">
        <v>134</v>
      </c>
      <c r="B117" t="s">
        <v>296</v>
      </c>
      <c r="C117" s="1" t="s">
        <v>335</v>
      </c>
      <c r="D117" s="1" t="s">
        <v>13</v>
      </c>
      <c r="E117" s="1" t="s">
        <v>171</v>
      </c>
      <c r="F117" t="s">
        <v>53</v>
      </c>
      <c r="G117" t="str">
        <f t="shared" si="3"/>
        <v>N</v>
      </c>
    </row>
    <row r="118" spans="1:7" hidden="1">
      <c r="A118" t="s">
        <v>135</v>
      </c>
      <c r="B118" t="s">
        <v>297</v>
      </c>
      <c r="C118" s="1" t="s">
        <v>335</v>
      </c>
      <c r="D118" s="1" t="s">
        <v>13</v>
      </c>
      <c r="E118" s="1" t="s">
        <v>171</v>
      </c>
      <c r="F118" t="s">
        <v>53</v>
      </c>
      <c r="G118" t="str">
        <f t="shared" si="3"/>
        <v>N</v>
      </c>
    </row>
    <row r="119" spans="1:7" hidden="1">
      <c r="A119" t="s">
        <v>136</v>
      </c>
      <c r="B119" t="s">
        <v>298</v>
      </c>
      <c r="C119" s="1" t="s">
        <v>335</v>
      </c>
      <c r="D119" s="1" t="s">
        <v>13</v>
      </c>
      <c r="E119" s="1" t="s">
        <v>171</v>
      </c>
      <c r="F119" t="s">
        <v>53</v>
      </c>
      <c r="G119" t="str">
        <f t="shared" si="3"/>
        <v>N</v>
      </c>
    </row>
    <row r="120" spans="1:7" hidden="1">
      <c r="A120" t="s">
        <v>137</v>
      </c>
      <c r="B120" t="s">
        <v>299</v>
      </c>
      <c r="C120" s="1" t="s">
        <v>335</v>
      </c>
      <c r="D120" s="1" t="s">
        <v>13</v>
      </c>
      <c r="E120" s="1" t="s">
        <v>171</v>
      </c>
      <c r="F120" t="s">
        <v>53</v>
      </c>
      <c r="G120" t="str">
        <f t="shared" si="3"/>
        <v>N</v>
      </c>
    </row>
    <row r="121" spans="1:7" hidden="1">
      <c r="A121" t="s">
        <v>138</v>
      </c>
      <c r="B121" t="s">
        <v>300</v>
      </c>
      <c r="C121" s="1" t="s">
        <v>335</v>
      </c>
      <c r="D121" s="1" t="s">
        <v>13</v>
      </c>
      <c r="E121" s="1" t="s">
        <v>171</v>
      </c>
      <c r="F121" t="s">
        <v>53</v>
      </c>
      <c r="G121" t="str">
        <f t="shared" si="3"/>
        <v>N</v>
      </c>
    </row>
    <row r="122" spans="1:7" hidden="1">
      <c r="A122" t="s">
        <v>139</v>
      </c>
      <c r="B122" t="s">
        <v>301</v>
      </c>
      <c r="C122" s="1" t="s">
        <v>335</v>
      </c>
      <c r="D122" s="1" t="s">
        <v>13</v>
      </c>
      <c r="E122" s="1" t="s">
        <v>171</v>
      </c>
      <c r="F122" t="s">
        <v>53</v>
      </c>
      <c r="G122" t="str">
        <f t="shared" si="3"/>
        <v>N</v>
      </c>
    </row>
    <row r="123" spans="1:7" hidden="1">
      <c r="A123" t="s">
        <v>140</v>
      </c>
      <c r="B123" t="s">
        <v>302</v>
      </c>
      <c r="C123" s="1" t="s">
        <v>335</v>
      </c>
      <c r="D123" s="1" t="s">
        <v>13</v>
      </c>
      <c r="E123" s="1" t="s">
        <v>171</v>
      </c>
      <c r="F123" t="s">
        <v>53</v>
      </c>
      <c r="G123" t="str">
        <f t="shared" si="3"/>
        <v>N</v>
      </c>
    </row>
    <row r="124" spans="1:7" hidden="1">
      <c r="A124" t="s">
        <v>141</v>
      </c>
      <c r="B124" t="s">
        <v>303</v>
      </c>
      <c r="C124" s="1" t="s">
        <v>335</v>
      </c>
      <c r="D124" s="1" t="s">
        <v>13</v>
      </c>
      <c r="E124" s="1" t="s">
        <v>171</v>
      </c>
      <c r="F124" t="s">
        <v>53</v>
      </c>
      <c r="G124" t="str">
        <f t="shared" si="3"/>
        <v>N</v>
      </c>
    </row>
    <row r="125" spans="1:7" hidden="1">
      <c r="A125" t="s">
        <v>142</v>
      </c>
      <c r="B125" t="s">
        <v>304</v>
      </c>
      <c r="C125" s="1" t="s">
        <v>335</v>
      </c>
      <c r="D125" s="1" t="s">
        <v>13</v>
      </c>
      <c r="E125" s="1" t="s">
        <v>171</v>
      </c>
      <c r="F125" t="s">
        <v>53</v>
      </c>
      <c r="G125" t="str">
        <f t="shared" si="3"/>
        <v>N</v>
      </c>
    </row>
    <row r="126" spans="1:7" hidden="1">
      <c r="A126" t="s">
        <v>143</v>
      </c>
      <c r="B126" t="s">
        <v>305</v>
      </c>
      <c r="C126" s="1" t="s">
        <v>335</v>
      </c>
      <c r="D126" s="1" t="s">
        <v>13</v>
      </c>
      <c r="E126" s="1" t="s">
        <v>171</v>
      </c>
      <c r="F126" t="s">
        <v>53</v>
      </c>
      <c r="G126" t="str">
        <f t="shared" si="3"/>
        <v>N</v>
      </c>
    </row>
    <row r="127" spans="1:7" hidden="1">
      <c r="A127" t="s">
        <v>144</v>
      </c>
      <c r="B127" t="s">
        <v>306</v>
      </c>
      <c r="C127" s="1" t="s">
        <v>335</v>
      </c>
      <c r="D127" s="1" t="s">
        <v>13</v>
      </c>
      <c r="E127" s="1" t="s">
        <v>171</v>
      </c>
      <c r="F127" t="s">
        <v>53</v>
      </c>
      <c r="G127" t="str">
        <f t="shared" si="3"/>
        <v>N</v>
      </c>
    </row>
    <row r="128" spans="1:7" hidden="1">
      <c r="A128" t="s">
        <v>145</v>
      </c>
      <c r="B128" t="s">
        <v>307</v>
      </c>
      <c r="C128" s="1" t="s">
        <v>335</v>
      </c>
      <c r="D128" s="1" t="s">
        <v>13</v>
      </c>
      <c r="E128" s="1" t="s">
        <v>171</v>
      </c>
      <c r="F128" t="s">
        <v>53</v>
      </c>
      <c r="G128" t="str">
        <f t="shared" si="3"/>
        <v>N</v>
      </c>
    </row>
    <row r="129" spans="1:7" hidden="1">
      <c r="A129" t="s">
        <v>146</v>
      </c>
      <c r="B129" t="s">
        <v>308</v>
      </c>
      <c r="C129" s="1" t="s">
        <v>335</v>
      </c>
      <c r="D129" s="1" t="s">
        <v>13</v>
      </c>
      <c r="E129" s="1" t="s">
        <v>171</v>
      </c>
      <c r="F129" t="s">
        <v>53</v>
      </c>
      <c r="G129" t="str">
        <f t="shared" si="3"/>
        <v>N</v>
      </c>
    </row>
    <row r="130" spans="1:7" hidden="1">
      <c r="A130" t="s">
        <v>147</v>
      </c>
      <c r="B130" t="s">
        <v>309</v>
      </c>
      <c r="C130" s="1" t="s">
        <v>196</v>
      </c>
      <c r="D130" s="1" t="s">
        <v>13</v>
      </c>
      <c r="E130" s="1" t="s">
        <v>171</v>
      </c>
      <c r="F130" t="s">
        <v>53</v>
      </c>
      <c r="G130" t="str">
        <f t="shared" ref="G130:G161" si="4">IF(ISNUMBER(MATCH(A130, H:H, 0)), "Y", "N")</f>
        <v>N</v>
      </c>
    </row>
    <row r="131" spans="1:7" hidden="1">
      <c r="A131" t="s">
        <v>148</v>
      </c>
      <c r="B131" t="s">
        <v>310</v>
      </c>
      <c r="C131" s="1" t="s">
        <v>335</v>
      </c>
      <c r="D131" s="1" t="s">
        <v>13</v>
      </c>
      <c r="E131" s="1" t="s">
        <v>171</v>
      </c>
      <c r="F131" t="s">
        <v>53</v>
      </c>
      <c r="G131" t="str">
        <f t="shared" si="4"/>
        <v>N</v>
      </c>
    </row>
    <row r="132" spans="1:7" hidden="1">
      <c r="A132" t="s">
        <v>149</v>
      </c>
      <c r="B132" t="s">
        <v>311</v>
      </c>
      <c r="C132" s="1" t="s">
        <v>335</v>
      </c>
      <c r="D132" s="1" t="s">
        <v>13</v>
      </c>
      <c r="E132" s="1" t="s">
        <v>171</v>
      </c>
      <c r="F132" t="s">
        <v>53</v>
      </c>
      <c r="G132" t="str">
        <f t="shared" si="4"/>
        <v>N</v>
      </c>
    </row>
    <row r="133" spans="1:7" hidden="1">
      <c r="A133" t="s">
        <v>150</v>
      </c>
      <c r="B133" t="s">
        <v>312</v>
      </c>
      <c r="C133" s="1" t="s">
        <v>335</v>
      </c>
      <c r="D133" s="1" t="s">
        <v>13</v>
      </c>
      <c r="E133" s="1" t="s">
        <v>171</v>
      </c>
      <c r="F133" t="s">
        <v>53</v>
      </c>
      <c r="G133" t="str">
        <f t="shared" si="4"/>
        <v>N</v>
      </c>
    </row>
    <row r="134" spans="1:7" hidden="1">
      <c r="A134" t="s">
        <v>151</v>
      </c>
      <c r="B134" t="s">
        <v>313</v>
      </c>
      <c r="C134" s="1" t="s">
        <v>335</v>
      </c>
      <c r="D134" s="1" t="s">
        <v>13</v>
      </c>
      <c r="E134" s="1" t="s">
        <v>171</v>
      </c>
      <c r="F134" t="s">
        <v>53</v>
      </c>
      <c r="G134" t="str">
        <f t="shared" si="4"/>
        <v>N</v>
      </c>
    </row>
    <row r="135" spans="1:7" hidden="1">
      <c r="A135" t="s">
        <v>152</v>
      </c>
      <c r="B135" t="s">
        <v>314</v>
      </c>
      <c r="C135" s="1" t="s">
        <v>335</v>
      </c>
      <c r="D135" s="1" t="s">
        <v>13</v>
      </c>
      <c r="E135" s="1" t="s">
        <v>171</v>
      </c>
      <c r="F135" t="s">
        <v>53</v>
      </c>
      <c r="G135" t="str">
        <f t="shared" si="4"/>
        <v>N</v>
      </c>
    </row>
    <row r="136" spans="1:7" hidden="1">
      <c r="A136" t="s">
        <v>153</v>
      </c>
      <c r="B136" t="s">
        <v>315</v>
      </c>
      <c r="C136" s="1" t="s">
        <v>335</v>
      </c>
      <c r="D136" s="1" t="s">
        <v>13</v>
      </c>
      <c r="E136" s="1" t="s">
        <v>171</v>
      </c>
      <c r="F136" t="s">
        <v>53</v>
      </c>
      <c r="G136" t="str">
        <f t="shared" si="4"/>
        <v>N</v>
      </c>
    </row>
    <row r="137" spans="1:7" hidden="1">
      <c r="A137" t="s">
        <v>154</v>
      </c>
      <c r="B137" t="s">
        <v>316</v>
      </c>
      <c r="C137" s="1" t="s">
        <v>335</v>
      </c>
      <c r="D137" s="1" t="s">
        <v>13</v>
      </c>
      <c r="E137" s="1" t="s">
        <v>171</v>
      </c>
      <c r="F137" t="s">
        <v>53</v>
      </c>
      <c r="G137" t="str">
        <f t="shared" si="4"/>
        <v>N</v>
      </c>
    </row>
    <row r="138" spans="1:7" hidden="1">
      <c r="A138" t="s">
        <v>155</v>
      </c>
      <c r="B138" t="s">
        <v>317</v>
      </c>
      <c r="C138" s="1" t="s">
        <v>335</v>
      </c>
      <c r="D138" s="1" t="s">
        <v>13</v>
      </c>
      <c r="E138" s="1" t="s">
        <v>171</v>
      </c>
      <c r="F138" t="s">
        <v>53</v>
      </c>
      <c r="G138" t="str">
        <f t="shared" si="4"/>
        <v>N</v>
      </c>
    </row>
    <row r="139" spans="1:7" hidden="1">
      <c r="A139" t="s">
        <v>156</v>
      </c>
      <c r="B139" t="s">
        <v>318</v>
      </c>
      <c r="C139" s="1" t="s">
        <v>335</v>
      </c>
      <c r="D139" s="1" t="s">
        <v>13</v>
      </c>
      <c r="E139" s="1" t="s">
        <v>171</v>
      </c>
      <c r="F139" t="s">
        <v>53</v>
      </c>
      <c r="G139" t="str">
        <f t="shared" si="4"/>
        <v>N</v>
      </c>
    </row>
    <row r="140" spans="1:7" hidden="1">
      <c r="A140" t="s">
        <v>157</v>
      </c>
      <c r="B140" t="s">
        <v>319</v>
      </c>
      <c r="C140" s="1" t="s">
        <v>335</v>
      </c>
      <c r="D140" s="1" t="s">
        <v>13</v>
      </c>
      <c r="E140" s="1" t="s">
        <v>171</v>
      </c>
      <c r="F140" t="s">
        <v>53</v>
      </c>
      <c r="G140" t="str">
        <f t="shared" si="4"/>
        <v>N</v>
      </c>
    </row>
    <row r="141" spans="1:7" hidden="1">
      <c r="A141" t="s">
        <v>158</v>
      </c>
      <c r="B141" t="s">
        <v>320</v>
      </c>
      <c r="C141" s="1" t="s">
        <v>335</v>
      </c>
      <c r="D141" s="1" t="s">
        <v>13</v>
      </c>
      <c r="E141" s="1" t="s">
        <v>171</v>
      </c>
      <c r="F141" t="s">
        <v>53</v>
      </c>
      <c r="G141" t="str">
        <f t="shared" si="4"/>
        <v>N</v>
      </c>
    </row>
    <row r="142" spans="1:7" hidden="1">
      <c r="A142" t="s">
        <v>159</v>
      </c>
      <c r="B142" t="s">
        <v>321</v>
      </c>
      <c r="C142" s="1" t="s">
        <v>335</v>
      </c>
      <c r="D142" s="1" t="s">
        <v>13</v>
      </c>
      <c r="E142" s="1" t="s">
        <v>171</v>
      </c>
      <c r="F142" t="s">
        <v>53</v>
      </c>
      <c r="G142" t="str">
        <f t="shared" si="4"/>
        <v>N</v>
      </c>
    </row>
    <row r="143" spans="1:7" hidden="1">
      <c r="A143" t="s">
        <v>160</v>
      </c>
      <c r="B143" t="s">
        <v>322</v>
      </c>
      <c r="C143" s="1" t="s">
        <v>335</v>
      </c>
      <c r="D143" s="1" t="s">
        <v>13</v>
      </c>
      <c r="E143" s="1" t="s">
        <v>171</v>
      </c>
      <c r="F143" t="s">
        <v>53</v>
      </c>
      <c r="G143" t="str">
        <f t="shared" si="4"/>
        <v>N</v>
      </c>
    </row>
    <row r="144" spans="1:7" hidden="1">
      <c r="A144" t="s">
        <v>161</v>
      </c>
      <c r="B144" t="s">
        <v>323</v>
      </c>
      <c r="C144" s="1" t="s">
        <v>335</v>
      </c>
      <c r="D144" s="1" t="s">
        <v>13</v>
      </c>
      <c r="E144" s="1" t="s">
        <v>171</v>
      </c>
      <c r="F144" t="s">
        <v>53</v>
      </c>
      <c r="G144" t="str">
        <f t="shared" si="4"/>
        <v>N</v>
      </c>
    </row>
    <row r="145" spans="1:7" hidden="1">
      <c r="A145" t="s">
        <v>162</v>
      </c>
      <c r="B145" t="s">
        <v>324</v>
      </c>
      <c r="C145" s="1" t="s">
        <v>6</v>
      </c>
      <c r="D145" s="1" t="s">
        <v>13</v>
      </c>
      <c r="E145" s="1" t="s">
        <v>171</v>
      </c>
      <c r="F145" t="s">
        <v>53</v>
      </c>
      <c r="G145" t="str">
        <f t="shared" si="4"/>
        <v>N</v>
      </c>
    </row>
    <row r="146" spans="1:7" hidden="1">
      <c r="A146" t="s">
        <v>163</v>
      </c>
      <c r="B146" t="s">
        <v>325</v>
      </c>
      <c r="C146" s="1" t="s">
        <v>196</v>
      </c>
      <c r="D146" s="1" t="s">
        <v>13</v>
      </c>
      <c r="E146" s="1" t="s">
        <v>171</v>
      </c>
      <c r="F146" t="s">
        <v>53</v>
      </c>
      <c r="G146" t="str">
        <f t="shared" si="4"/>
        <v>N</v>
      </c>
    </row>
    <row r="147" spans="1:7" hidden="1">
      <c r="A147" t="s">
        <v>164</v>
      </c>
      <c r="B147" t="s">
        <v>326</v>
      </c>
      <c r="C147" s="1" t="s">
        <v>335</v>
      </c>
      <c r="D147" s="1" t="s">
        <v>13</v>
      </c>
      <c r="E147" s="1" t="s">
        <v>171</v>
      </c>
      <c r="F147" t="s">
        <v>53</v>
      </c>
      <c r="G147" t="str">
        <f t="shared" si="4"/>
        <v>N</v>
      </c>
    </row>
    <row r="148" spans="1:7" hidden="1">
      <c r="A148" t="s">
        <v>165</v>
      </c>
      <c r="B148" t="s">
        <v>327</v>
      </c>
      <c r="C148" s="1" t="s">
        <v>335</v>
      </c>
      <c r="D148" s="1" t="s">
        <v>13</v>
      </c>
      <c r="E148" s="1" t="s">
        <v>171</v>
      </c>
      <c r="F148" t="s">
        <v>53</v>
      </c>
      <c r="G148" t="str">
        <f t="shared" si="4"/>
        <v>N</v>
      </c>
    </row>
    <row r="149" spans="1:7" hidden="1">
      <c r="A149" t="s">
        <v>166</v>
      </c>
      <c r="B149" t="s">
        <v>328</v>
      </c>
      <c r="C149" s="1" t="s">
        <v>335</v>
      </c>
      <c r="D149" s="1" t="s">
        <v>13</v>
      </c>
      <c r="E149" s="1" t="s">
        <v>171</v>
      </c>
      <c r="F149" t="s">
        <v>53</v>
      </c>
      <c r="G149" t="str">
        <f t="shared" si="4"/>
        <v>N</v>
      </c>
    </row>
    <row r="150" spans="1:7" hidden="1">
      <c r="A150" t="s">
        <v>167</v>
      </c>
      <c r="B150" t="s">
        <v>329</v>
      </c>
      <c r="C150" s="1" t="s">
        <v>335</v>
      </c>
      <c r="D150" s="1" t="s">
        <v>13</v>
      </c>
      <c r="E150" s="1" t="s">
        <v>171</v>
      </c>
      <c r="F150" t="s">
        <v>53</v>
      </c>
      <c r="G150" t="str">
        <f t="shared" si="4"/>
        <v>N</v>
      </c>
    </row>
    <row r="151" spans="1:7" hidden="1">
      <c r="A151" t="s">
        <v>168</v>
      </c>
      <c r="B151" t="s">
        <v>330</v>
      </c>
      <c r="C151" s="1" t="s">
        <v>335</v>
      </c>
      <c r="D151" s="1" t="s">
        <v>13</v>
      </c>
      <c r="E151" s="1" t="s">
        <v>171</v>
      </c>
      <c r="F151" t="s">
        <v>53</v>
      </c>
      <c r="G151" t="str">
        <f t="shared" si="4"/>
        <v>N</v>
      </c>
    </row>
    <row r="152" spans="1:7" hidden="1">
      <c r="A152" t="s">
        <v>169</v>
      </c>
      <c r="B152" t="s">
        <v>331</v>
      </c>
      <c r="C152" s="1" t="s">
        <v>335</v>
      </c>
      <c r="D152" s="1" t="s">
        <v>13</v>
      </c>
      <c r="E152" s="1" t="s">
        <v>171</v>
      </c>
      <c r="F152" t="s">
        <v>53</v>
      </c>
      <c r="G152" t="str">
        <f t="shared" si="4"/>
        <v>N</v>
      </c>
    </row>
  </sheetData>
  <autoFilter ref="A1:H152" xr:uid="{3F950F64-58AC-4A83-B722-8F79BA8F22E8}">
    <filterColumn colId="6">
      <filters>
        <filter val="Y"/>
      </filters>
    </filterColumn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640E-8023-4E82-86E7-18CF3F672339}">
  <dimension ref="A1:BB49"/>
  <sheetViews>
    <sheetView tabSelected="1" workbookViewId="0">
      <selection activeCell="J15" sqref="J15"/>
    </sheetView>
  </sheetViews>
  <sheetFormatPr defaultRowHeight="14.25"/>
  <cols>
    <col min="1" max="1" width="19.3984375" bestFit="1" customWidth="1"/>
    <col min="3" max="3" width="15.796875" customWidth="1"/>
    <col min="4" max="4" width="19.1328125" customWidth="1"/>
  </cols>
  <sheetData>
    <row r="1" spans="1:54">
      <c r="A1" s="2" t="s">
        <v>388</v>
      </c>
      <c r="B1" s="2" t="s">
        <v>389</v>
      </c>
      <c r="C1" s="2" t="s">
        <v>390</v>
      </c>
      <c r="D1" s="2" t="s">
        <v>391</v>
      </c>
      <c r="E1" s="2"/>
      <c r="F1" s="2"/>
      <c r="G1" s="2"/>
      <c r="H1" s="2"/>
      <c r="I1" s="2"/>
      <c r="J1" s="2"/>
      <c r="K1" s="2"/>
      <c r="L1" s="2"/>
      <c r="M1" s="2"/>
      <c r="N1" s="2"/>
    </row>
    <row r="2" spans="1:54">
      <c r="A2" s="7" t="s">
        <v>9</v>
      </c>
      <c r="B2">
        <v>0</v>
      </c>
      <c r="C2">
        <v>0</v>
      </c>
      <c r="D2">
        <v>2260668</v>
      </c>
      <c r="E2">
        <v>2260668</v>
      </c>
      <c r="U2" s="32"/>
      <c r="W2" s="32"/>
      <c r="X2" s="32"/>
      <c r="AB2" s="32"/>
      <c r="AC2" s="32"/>
      <c r="AT2" s="32"/>
    </row>
    <row r="3" spans="1:54">
      <c r="A3" s="7" t="s">
        <v>10</v>
      </c>
      <c r="B3">
        <v>2260668</v>
      </c>
      <c r="C3">
        <v>1</v>
      </c>
      <c r="D3">
        <v>0</v>
      </c>
      <c r="E3">
        <v>0</v>
      </c>
    </row>
    <row r="4" spans="1:54">
      <c r="A4" t="s">
        <v>17</v>
      </c>
      <c r="B4">
        <v>0</v>
      </c>
      <c r="C4">
        <v>0</v>
      </c>
      <c r="D4">
        <v>1572</v>
      </c>
      <c r="E4">
        <v>1572</v>
      </c>
    </row>
    <row r="5" spans="1:54">
      <c r="A5" t="s">
        <v>49</v>
      </c>
      <c r="B5">
        <v>0</v>
      </c>
      <c r="C5">
        <v>0</v>
      </c>
      <c r="D5">
        <v>10057</v>
      </c>
      <c r="E5">
        <v>9583</v>
      </c>
      <c r="G5">
        <v>2260668</v>
      </c>
      <c r="H5">
        <v>0</v>
      </c>
      <c r="I5">
        <v>1572</v>
      </c>
      <c r="J5">
        <v>9583</v>
      </c>
      <c r="K5">
        <v>2</v>
      </c>
      <c r="L5">
        <v>673</v>
      </c>
      <c r="M5">
        <v>93301</v>
      </c>
      <c r="N5">
        <v>7</v>
      </c>
      <c r="O5">
        <v>35</v>
      </c>
      <c r="P5">
        <v>512694</v>
      </c>
      <c r="Q5">
        <v>12</v>
      </c>
      <c r="R5">
        <v>7</v>
      </c>
      <c r="S5">
        <v>89368</v>
      </c>
      <c r="T5">
        <v>4</v>
      </c>
      <c r="U5">
        <v>139</v>
      </c>
      <c r="V5">
        <v>10</v>
      </c>
      <c r="W5">
        <v>268</v>
      </c>
      <c r="X5">
        <v>63168</v>
      </c>
      <c r="Y5">
        <v>1175</v>
      </c>
      <c r="Z5">
        <v>270</v>
      </c>
      <c r="AA5">
        <v>10845</v>
      </c>
      <c r="AB5">
        <v>37</v>
      </c>
      <c r="AC5">
        <v>754</v>
      </c>
      <c r="AD5">
        <v>70</v>
      </c>
      <c r="AE5">
        <v>90</v>
      </c>
      <c r="AF5">
        <v>81</v>
      </c>
      <c r="AG5">
        <v>220</v>
      </c>
      <c r="AH5">
        <v>168</v>
      </c>
      <c r="AI5">
        <v>121</v>
      </c>
      <c r="AJ5">
        <v>68</v>
      </c>
      <c r="AK5">
        <v>102250</v>
      </c>
      <c r="AL5">
        <v>1512</v>
      </c>
      <c r="AM5">
        <v>213</v>
      </c>
      <c r="AN5">
        <v>158</v>
      </c>
      <c r="AO5">
        <v>356222</v>
      </c>
      <c r="AP5">
        <v>368537</v>
      </c>
      <c r="AQ5">
        <v>1297799</v>
      </c>
      <c r="AR5">
        <v>1311026</v>
      </c>
      <c r="AS5">
        <v>486558</v>
      </c>
      <c r="AT5">
        <v>635986</v>
      </c>
      <c r="AU5">
        <v>9998</v>
      </c>
      <c r="AV5">
        <v>132840</v>
      </c>
      <c r="AW5">
        <v>67429</v>
      </c>
      <c r="AX5">
        <v>704280</v>
      </c>
      <c r="AY5">
        <v>158</v>
      </c>
      <c r="AZ5">
        <v>161</v>
      </c>
      <c r="BA5">
        <v>91</v>
      </c>
      <c r="BB5">
        <v>77</v>
      </c>
    </row>
    <row r="6" spans="1:54">
      <c r="A6" t="s">
        <v>18</v>
      </c>
      <c r="B6">
        <v>0</v>
      </c>
      <c r="C6">
        <v>0</v>
      </c>
      <c r="D6">
        <v>2</v>
      </c>
      <c r="E6">
        <v>2</v>
      </c>
    </row>
    <row r="7" spans="1:54">
      <c r="A7" t="s">
        <v>19</v>
      </c>
      <c r="B7">
        <v>0</v>
      </c>
      <c r="C7">
        <v>0</v>
      </c>
      <c r="D7">
        <v>673</v>
      </c>
      <c r="E7">
        <v>673</v>
      </c>
    </row>
    <row r="8" spans="1:54">
      <c r="A8" t="s">
        <v>20</v>
      </c>
      <c r="B8">
        <v>0</v>
      </c>
      <c r="C8">
        <v>0</v>
      </c>
      <c r="D8">
        <v>93301</v>
      </c>
      <c r="E8">
        <v>93301</v>
      </c>
    </row>
    <row r="9" spans="1:54">
      <c r="A9" t="s">
        <v>21</v>
      </c>
      <c r="B9">
        <v>0</v>
      </c>
      <c r="C9">
        <v>0</v>
      </c>
      <c r="D9">
        <v>7</v>
      </c>
      <c r="E9">
        <v>7</v>
      </c>
      <c r="W9" s="32"/>
      <c r="Y9" s="32"/>
      <c r="AA9" s="32"/>
      <c r="AB9" s="32"/>
    </row>
    <row r="10" spans="1:54">
      <c r="A10" t="s">
        <v>22</v>
      </c>
      <c r="B10">
        <v>0</v>
      </c>
      <c r="C10">
        <v>0</v>
      </c>
      <c r="D10">
        <v>35</v>
      </c>
      <c r="E10">
        <v>35</v>
      </c>
    </row>
    <row r="11" spans="1:54">
      <c r="A11" t="s">
        <v>25</v>
      </c>
      <c r="B11">
        <v>166969</v>
      </c>
      <c r="C11">
        <v>7.3858300000000002E-2</v>
      </c>
      <c r="D11">
        <v>512694</v>
      </c>
      <c r="E11">
        <v>512694</v>
      </c>
    </row>
    <row r="12" spans="1:54">
      <c r="A12" t="s">
        <v>26</v>
      </c>
      <c r="B12">
        <v>146907</v>
      </c>
      <c r="C12">
        <v>6.4983899999999997E-2</v>
      </c>
      <c r="D12">
        <v>12</v>
      </c>
      <c r="E12">
        <v>12</v>
      </c>
    </row>
    <row r="13" spans="1:54">
      <c r="A13" t="s">
        <v>27</v>
      </c>
      <c r="B13">
        <v>0</v>
      </c>
      <c r="C13">
        <v>0</v>
      </c>
      <c r="D13">
        <v>7</v>
      </c>
      <c r="E13">
        <v>7</v>
      </c>
    </row>
    <row r="14" spans="1:54">
      <c r="A14" t="s">
        <v>28</v>
      </c>
      <c r="B14">
        <v>5</v>
      </c>
      <c r="C14">
        <v>2.2000000000000001E-6</v>
      </c>
      <c r="D14">
        <v>89369</v>
      </c>
      <c r="E14">
        <v>89368</v>
      </c>
    </row>
    <row r="15" spans="1:54">
      <c r="A15" t="s">
        <v>54</v>
      </c>
      <c r="B15">
        <v>0</v>
      </c>
      <c r="C15">
        <v>0</v>
      </c>
      <c r="D15">
        <v>4</v>
      </c>
      <c r="E15">
        <v>4</v>
      </c>
    </row>
    <row r="16" spans="1:54">
      <c r="A16" t="s">
        <v>15</v>
      </c>
      <c r="B16">
        <v>1</v>
      </c>
      <c r="C16" s="32">
        <v>3.9999999999999998E-7</v>
      </c>
      <c r="D16">
        <v>140</v>
      </c>
      <c r="E16">
        <v>139</v>
      </c>
    </row>
    <row r="17" spans="1:5">
      <c r="A17" t="s">
        <v>23</v>
      </c>
      <c r="B17">
        <v>0</v>
      </c>
      <c r="C17">
        <v>0</v>
      </c>
      <c r="D17" s="32">
        <v>10</v>
      </c>
      <c r="E17">
        <v>10</v>
      </c>
    </row>
    <row r="18" spans="1:5">
      <c r="A18" t="s">
        <v>24</v>
      </c>
      <c r="B18">
        <v>1</v>
      </c>
      <c r="C18" s="32">
        <v>3.9999999999999998E-7</v>
      </c>
      <c r="D18">
        <v>268</v>
      </c>
      <c r="E18">
        <v>268</v>
      </c>
    </row>
    <row r="19" spans="1:5">
      <c r="A19" t="s">
        <v>58</v>
      </c>
      <c r="B19">
        <v>23326</v>
      </c>
      <c r="C19">
        <v>1.03182E-2</v>
      </c>
      <c r="D19" s="32">
        <v>63168</v>
      </c>
      <c r="E19">
        <v>63168</v>
      </c>
    </row>
    <row r="20" spans="1:5">
      <c r="A20" t="s">
        <v>59</v>
      </c>
      <c r="B20">
        <v>2</v>
      </c>
      <c r="C20" s="32">
        <v>8.9999999999999996E-7</v>
      </c>
      <c r="D20" s="32">
        <v>1175</v>
      </c>
      <c r="E20">
        <v>1175</v>
      </c>
    </row>
    <row r="21" spans="1:5">
      <c r="A21" t="s">
        <v>30</v>
      </c>
      <c r="B21">
        <v>1</v>
      </c>
      <c r="C21" s="32">
        <v>3.9999999999999998E-7</v>
      </c>
      <c r="D21">
        <v>270</v>
      </c>
      <c r="E21">
        <v>270</v>
      </c>
    </row>
    <row r="22" spans="1:5">
      <c r="A22" t="s">
        <v>31</v>
      </c>
      <c r="B22">
        <v>1967</v>
      </c>
      <c r="C22">
        <v>8.7009999999999995E-4</v>
      </c>
      <c r="D22">
        <v>11051</v>
      </c>
      <c r="E22">
        <v>10845</v>
      </c>
    </row>
    <row r="23" spans="1:5">
      <c r="A23" t="s">
        <v>37</v>
      </c>
      <c r="B23">
        <v>228</v>
      </c>
      <c r="C23">
        <v>1.009E-4</v>
      </c>
      <c r="D23">
        <v>249</v>
      </c>
      <c r="E23">
        <v>37</v>
      </c>
    </row>
    <row r="24" spans="1:5">
      <c r="A24" t="s">
        <v>60</v>
      </c>
      <c r="B24">
        <v>285</v>
      </c>
      <c r="C24">
        <v>1.261E-4</v>
      </c>
      <c r="D24" s="32">
        <v>926</v>
      </c>
      <c r="E24">
        <v>754</v>
      </c>
    </row>
    <row r="25" spans="1:5">
      <c r="A25" t="s">
        <v>32</v>
      </c>
      <c r="B25">
        <v>170</v>
      </c>
      <c r="C25">
        <v>7.5199999999999998E-5</v>
      </c>
      <c r="D25" s="32">
        <v>245</v>
      </c>
      <c r="E25">
        <v>70</v>
      </c>
    </row>
    <row r="26" spans="1:5">
      <c r="A26" t="s">
        <v>33</v>
      </c>
      <c r="B26">
        <v>137</v>
      </c>
      <c r="C26">
        <v>6.0600000000000003E-5</v>
      </c>
      <c r="D26">
        <v>220</v>
      </c>
      <c r="E26">
        <v>90</v>
      </c>
    </row>
    <row r="27" spans="1:5">
      <c r="A27" t="s">
        <v>61</v>
      </c>
      <c r="B27">
        <v>146</v>
      </c>
      <c r="C27">
        <v>6.4599999999999998E-5</v>
      </c>
      <c r="D27">
        <v>195</v>
      </c>
      <c r="E27">
        <v>81</v>
      </c>
    </row>
    <row r="28" spans="1:5">
      <c r="A28" t="s">
        <v>62</v>
      </c>
      <c r="B28">
        <v>1158427</v>
      </c>
      <c r="C28">
        <v>0.51242690000000002</v>
      </c>
      <c r="D28">
        <v>309</v>
      </c>
      <c r="E28">
        <v>220</v>
      </c>
    </row>
    <row r="29" spans="1:5">
      <c r="A29" t="s">
        <v>63</v>
      </c>
      <c r="B29">
        <v>1901392</v>
      </c>
      <c r="C29">
        <v>0.84107529999999997</v>
      </c>
      <c r="D29">
        <v>243</v>
      </c>
      <c r="E29">
        <v>168</v>
      </c>
    </row>
    <row r="30" spans="1:5">
      <c r="A30" t="s">
        <v>35</v>
      </c>
      <c r="B30">
        <v>161</v>
      </c>
      <c r="C30">
        <v>7.1199999999999996E-5</v>
      </c>
      <c r="D30">
        <v>180</v>
      </c>
      <c r="E30">
        <v>121</v>
      </c>
    </row>
    <row r="31" spans="1:5">
      <c r="A31" t="s">
        <v>38</v>
      </c>
      <c r="B31">
        <v>135</v>
      </c>
      <c r="C31">
        <v>5.9700000000000001E-5</v>
      </c>
      <c r="D31">
        <v>120</v>
      </c>
      <c r="E31">
        <v>68</v>
      </c>
    </row>
    <row r="32" spans="1:5">
      <c r="A32" t="s">
        <v>64</v>
      </c>
      <c r="B32">
        <v>92</v>
      </c>
      <c r="C32">
        <v>4.07E-5</v>
      </c>
      <c r="D32">
        <v>102286</v>
      </c>
      <c r="E32">
        <v>102250</v>
      </c>
    </row>
    <row r="33" spans="1:5">
      <c r="A33" t="s">
        <v>34</v>
      </c>
      <c r="B33">
        <v>1862</v>
      </c>
      <c r="C33">
        <v>8.2370000000000002E-4</v>
      </c>
      <c r="D33">
        <v>1540</v>
      </c>
      <c r="E33">
        <v>1512</v>
      </c>
    </row>
    <row r="34" spans="1:5">
      <c r="A34" t="s">
        <v>36</v>
      </c>
      <c r="B34">
        <v>73</v>
      </c>
      <c r="C34">
        <v>3.2299999999999999E-5</v>
      </c>
      <c r="D34">
        <v>287</v>
      </c>
      <c r="E34">
        <v>213</v>
      </c>
    </row>
    <row r="35" spans="1:5">
      <c r="A35" t="s">
        <v>65</v>
      </c>
      <c r="B35">
        <v>17</v>
      </c>
      <c r="C35">
        <v>7.5000000000000002E-6</v>
      </c>
      <c r="D35">
        <v>158</v>
      </c>
      <c r="E35">
        <v>158</v>
      </c>
    </row>
    <row r="36" spans="1:5">
      <c r="A36" t="s">
        <v>44</v>
      </c>
      <c r="B36">
        <v>90</v>
      </c>
      <c r="C36">
        <v>3.9799999999999998E-5</v>
      </c>
      <c r="D36">
        <v>356239</v>
      </c>
      <c r="E36">
        <v>356222</v>
      </c>
    </row>
    <row r="37" spans="1:5">
      <c r="A37" t="s">
        <v>66</v>
      </c>
      <c r="B37">
        <v>80</v>
      </c>
      <c r="C37">
        <v>3.54E-5</v>
      </c>
      <c r="D37">
        <v>368550</v>
      </c>
      <c r="E37">
        <v>368537</v>
      </c>
    </row>
    <row r="38" spans="1:5">
      <c r="A38" t="s">
        <v>39</v>
      </c>
      <c r="B38">
        <v>61</v>
      </c>
      <c r="C38">
        <v>2.6999999999999999E-5</v>
      </c>
      <c r="D38">
        <v>1633693</v>
      </c>
      <c r="E38">
        <v>1297799</v>
      </c>
    </row>
    <row r="39" spans="1:5">
      <c r="A39" t="s">
        <v>67</v>
      </c>
      <c r="B39">
        <v>40</v>
      </c>
      <c r="C39">
        <v>1.77E-5</v>
      </c>
      <c r="D39">
        <v>1311060</v>
      </c>
      <c r="E39">
        <v>1311026</v>
      </c>
    </row>
    <row r="40" spans="1:5">
      <c r="A40" t="s">
        <v>40</v>
      </c>
      <c r="B40">
        <v>36</v>
      </c>
      <c r="C40">
        <v>1.59E-5</v>
      </c>
      <c r="D40">
        <v>486576</v>
      </c>
      <c r="E40">
        <v>486558</v>
      </c>
    </row>
    <row r="41" spans="1:5">
      <c r="A41" t="s">
        <v>41</v>
      </c>
      <c r="B41">
        <v>17</v>
      </c>
      <c r="C41">
        <v>7.5000000000000002E-6</v>
      </c>
      <c r="D41">
        <v>636000</v>
      </c>
      <c r="E41">
        <v>635986</v>
      </c>
    </row>
    <row r="42" spans="1:5">
      <c r="A42" t="s">
        <v>68</v>
      </c>
      <c r="B42">
        <v>18</v>
      </c>
      <c r="C42">
        <v>7.9999999999999996E-6</v>
      </c>
      <c r="D42" s="32">
        <v>18530</v>
      </c>
      <c r="E42">
        <v>9998</v>
      </c>
    </row>
    <row r="43" spans="1:5">
      <c r="A43" t="s">
        <v>42</v>
      </c>
      <c r="B43">
        <v>19</v>
      </c>
      <c r="C43">
        <v>8.3999999999999992E-6</v>
      </c>
      <c r="D43">
        <v>132850</v>
      </c>
      <c r="E43">
        <v>132840</v>
      </c>
    </row>
    <row r="44" spans="1:5">
      <c r="A44" t="s">
        <v>43</v>
      </c>
      <c r="B44">
        <v>20</v>
      </c>
      <c r="C44">
        <v>8.8000000000000004E-6</v>
      </c>
      <c r="D44">
        <v>146314</v>
      </c>
      <c r="E44">
        <v>67429</v>
      </c>
    </row>
    <row r="45" spans="1:5">
      <c r="A45" t="s">
        <v>69</v>
      </c>
      <c r="B45">
        <v>68</v>
      </c>
      <c r="C45">
        <v>3.01E-5</v>
      </c>
      <c r="D45">
        <v>704487</v>
      </c>
      <c r="E45">
        <v>704280</v>
      </c>
    </row>
    <row r="46" spans="1:5">
      <c r="A46" t="s">
        <v>70</v>
      </c>
      <c r="B46">
        <v>128</v>
      </c>
      <c r="C46">
        <v>5.66E-5</v>
      </c>
      <c r="D46">
        <v>223</v>
      </c>
      <c r="E46">
        <v>158</v>
      </c>
    </row>
    <row r="47" spans="1:5">
      <c r="A47" t="s">
        <v>71</v>
      </c>
      <c r="B47">
        <v>103</v>
      </c>
      <c r="C47">
        <v>4.5599999999999997E-5</v>
      </c>
      <c r="D47">
        <v>210</v>
      </c>
      <c r="E47">
        <v>161</v>
      </c>
    </row>
    <row r="48" spans="1:5">
      <c r="A48" t="s">
        <v>74</v>
      </c>
      <c r="B48">
        <v>66</v>
      </c>
      <c r="C48">
        <v>2.9200000000000002E-5</v>
      </c>
      <c r="D48">
        <v>91</v>
      </c>
      <c r="E48">
        <v>91</v>
      </c>
    </row>
    <row r="49" spans="1:5">
      <c r="A49" t="s">
        <v>75</v>
      </c>
      <c r="B49">
        <v>55</v>
      </c>
      <c r="C49">
        <v>2.4300000000000001E-5</v>
      </c>
      <c r="D49">
        <v>77</v>
      </c>
      <c r="E49">
        <v>77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11E4F-5CC3-4428-AB5D-389AF84DFF0B}">
  <dimension ref="A1:G38"/>
  <sheetViews>
    <sheetView zoomScale="111" workbookViewId="0">
      <selection activeCell="A25" sqref="A25"/>
    </sheetView>
  </sheetViews>
  <sheetFormatPr defaultRowHeight="14.25"/>
  <cols>
    <col min="1" max="1" width="33.796875" customWidth="1"/>
    <col min="2" max="2" width="43" bestFit="1" customWidth="1"/>
    <col min="3" max="3" width="13" bestFit="1" customWidth="1"/>
    <col min="4" max="4" width="10.59765625" customWidth="1"/>
    <col min="5" max="5" width="8.1328125" customWidth="1"/>
  </cols>
  <sheetData>
    <row r="1" spans="1:7">
      <c r="A1" s="22" t="s">
        <v>370</v>
      </c>
      <c r="B1" s="23"/>
      <c r="C1" s="23"/>
      <c r="D1" s="23"/>
      <c r="E1" s="23"/>
      <c r="F1" s="22"/>
      <c r="G1" s="22"/>
    </row>
    <row r="3" spans="1:7" ht="31.9">
      <c r="A3" s="11" t="s">
        <v>344</v>
      </c>
    </row>
    <row r="4" spans="1:7" ht="14.65" thickBot="1">
      <c r="A4" s="12"/>
      <c r="B4" s="12"/>
      <c r="C4" s="12"/>
      <c r="D4" s="12"/>
      <c r="E4" s="12"/>
    </row>
    <row r="5" spans="1:7" ht="28.5">
      <c r="A5" s="14" t="s">
        <v>345</v>
      </c>
      <c r="B5" s="15" t="s">
        <v>343</v>
      </c>
      <c r="C5" s="16" t="s">
        <v>346</v>
      </c>
      <c r="D5" s="17" t="s">
        <v>347</v>
      </c>
      <c r="E5" s="1"/>
    </row>
    <row r="6" spans="1:7" ht="57">
      <c r="A6" s="18" t="s">
        <v>348</v>
      </c>
      <c r="B6" s="19" t="s">
        <v>32</v>
      </c>
      <c r="C6" s="1" t="s">
        <v>349</v>
      </c>
      <c r="D6" s="20">
        <v>20</v>
      </c>
      <c r="E6" s="1"/>
    </row>
    <row r="7" spans="1:7" ht="57">
      <c r="A7" s="18" t="s">
        <v>350</v>
      </c>
      <c r="B7" s="19" t="s">
        <v>31</v>
      </c>
      <c r="C7" s="1" t="s">
        <v>351</v>
      </c>
      <c r="D7" s="20">
        <v>18</v>
      </c>
      <c r="E7" s="1"/>
    </row>
    <row r="8" spans="1:7" ht="57">
      <c r="A8" s="18" t="s">
        <v>352</v>
      </c>
      <c r="B8" s="19" t="s">
        <v>28</v>
      </c>
      <c r="C8" s="1" t="s">
        <v>353</v>
      </c>
      <c r="D8" s="20">
        <v>12</v>
      </c>
      <c r="E8" s="1"/>
    </row>
    <row r="9" spans="1:7" ht="57">
      <c r="A9" s="18" t="s">
        <v>354</v>
      </c>
      <c r="B9" s="19" t="s">
        <v>19</v>
      </c>
      <c r="C9" s="1" t="s">
        <v>355</v>
      </c>
      <c r="D9" s="20">
        <v>15</v>
      </c>
      <c r="E9" s="1"/>
    </row>
    <row r="10" spans="1:7" ht="42.75">
      <c r="A10" s="18" t="s">
        <v>356</v>
      </c>
      <c r="B10" s="19" t="s">
        <v>357</v>
      </c>
      <c r="C10" s="1" t="s">
        <v>358</v>
      </c>
      <c r="D10" s="20">
        <v>8</v>
      </c>
      <c r="E10" s="1"/>
    </row>
    <row r="11" spans="1:7" ht="42.75">
      <c r="A11" s="18" t="s">
        <v>359</v>
      </c>
      <c r="B11" s="19" t="s">
        <v>61</v>
      </c>
      <c r="C11" s="1" t="s">
        <v>360</v>
      </c>
      <c r="D11" s="20">
        <v>8</v>
      </c>
      <c r="E11" s="1"/>
    </row>
    <row r="12" spans="1:7" ht="42.75">
      <c r="A12" s="18" t="s">
        <v>361</v>
      </c>
      <c r="B12" s="19" t="s">
        <v>362</v>
      </c>
      <c r="C12" s="1" t="s">
        <v>363</v>
      </c>
      <c r="D12" s="20">
        <v>6</v>
      </c>
      <c r="E12" s="1"/>
    </row>
    <row r="13" spans="1:7" ht="42.75">
      <c r="A13" s="18" t="s">
        <v>364</v>
      </c>
      <c r="B13" s="19" t="s">
        <v>18</v>
      </c>
      <c r="C13" s="1" t="s">
        <v>365</v>
      </c>
      <c r="D13" s="20">
        <v>5</v>
      </c>
      <c r="E13" s="1"/>
    </row>
    <row r="14" spans="1:7" ht="42.75">
      <c r="A14" s="18" t="s">
        <v>366</v>
      </c>
      <c r="B14" s="19" t="s">
        <v>23</v>
      </c>
      <c r="C14" s="1" t="s">
        <v>367</v>
      </c>
      <c r="D14" s="20" t="s">
        <v>369</v>
      </c>
      <c r="E14" s="1"/>
    </row>
    <row r="15" spans="1:7" ht="14.65" thickBot="1">
      <c r="A15" s="24" t="s">
        <v>368</v>
      </c>
      <c r="B15" s="25"/>
      <c r="C15" s="21"/>
      <c r="D15" s="26">
        <v>100</v>
      </c>
      <c r="E15" s="1"/>
    </row>
    <row r="16" spans="1:7">
      <c r="A16" s="1"/>
      <c r="B16" s="1"/>
      <c r="C16" s="1"/>
      <c r="D16" s="1"/>
      <c r="E16" s="1"/>
    </row>
    <row r="17" spans="1:5">
      <c r="A17" s="28" t="s">
        <v>371</v>
      </c>
      <c r="B17" s="27" t="s">
        <v>372</v>
      </c>
    </row>
    <row r="18" spans="1:5" ht="28.5">
      <c r="A18" s="29" t="s">
        <v>374</v>
      </c>
      <c r="B18" s="1" t="s">
        <v>377</v>
      </c>
      <c r="C18" s="1"/>
      <c r="D18" s="1"/>
      <c r="E18" s="1"/>
    </row>
    <row r="19" spans="1:5">
      <c r="A19" s="30" t="s">
        <v>375</v>
      </c>
      <c r="B19" s="1" t="s">
        <v>376</v>
      </c>
      <c r="C19" s="1"/>
      <c r="D19" s="1"/>
      <c r="E19" s="1"/>
    </row>
    <row r="20" spans="1:5">
      <c r="A20" s="28" t="s">
        <v>379</v>
      </c>
      <c r="B20" t="s">
        <v>378</v>
      </c>
      <c r="C20" s="1"/>
      <c r="D20" s="1"/>
      <c r="E20" s="1"/>
    </row>
    <row r="21" spans="1:5">
      <c r="A21" s="1"/>
      <c r="B21" s="1"/>
      <c r="C21" s="1"/>
      <c r="D21" s="1"/>
      <c r="E21" s="1"/>
    </row>
    <row r="22" spans="1:5">
      <c r="A22" s="1"/>
      <c r="B22" s="1"/>
      <c r="C22" s="1"/>
      <c r="D22" s="1"/>
      <c r="E22" s="1"/>
    </row>
    <row r="23" spans="1:5">
      <c r="A23" s="1"/>
      <c r="B23" s="1"/>
      <c r="C23" s="1"/>
      <c r="D23" s="1"/>
      <c r="E23" s="1"/>
    </row>
    <row r="24" spans="1:5">
      <c r="A24" s="1"/>
      <c r="B24" s="1"/>
      <c r="C24" s="1"/>
      <c r="D24" s="1"/>
      <c r="E24" s="1"/>
    </row>
    <row r="25" spans="1:5">
      <c r="A25" s="1" t="s">
        <v>373</v>
      </c>
      <c r="B25" s="1"/>
      <c r="C25" s="1"/>
      <c r="D25" s="1"/>
      <c r="E25" s="1"/>
    </row>
    <row r="26" spans="1:5">
      <c r="A26" t="s">
        <v>19</v>
      </c>
      <c r="B26" s="1"/>
      <c r="C26" s="1"/>
      <c r="D26" s="1"/>
      <c r="E26" s="1"/>
    </row>
    <row r="27" spans="1:5">
      <c r="A27" t="s">
        <v>20</v>
      </c>
      <c r="B27" s="1"/>
      <c r="C27" s="1"/>
      <c r="D27" s="1"/>
      <c r="E27" s="1"/>
    </row>
    <row r="28" spans="1:5">
      <c r="A28" t="s">
        <v>44</v>
      </c>
      <c r="B28" s="1"/>
      <c r="C28" s="1"/>
      <c r="D28" s="1"/>
      <c r="E28" s="1"/>
    </row>
    <row r="29" spans="1:5">
      <c r="A29" t="s">
        <v>66</v>
      </c>
      <c r="B29" s="1"/>
      <c r="C29" s="13"/>
      <c r="D29" s="1"/>
      <c r="E29" s="1"/>
    </row>
    <row r="30" spans="1:5">
      <c r="A30" t="s">
        <v>39</v>
      </c>
      <c r="B30" s="1"/>
      <c r="C30" s="1"/>
      <c r="D30" s="1"/>
      <c r="E30" s="1"/>
    </row>
    <row r="31" spans="1:5">
      <c r="A31" t="s">
        <v>67</v>
      </c>
      <c r="B31" s="1"/>
      <c r="C31" s="1"/>
      <c r="D31" s="1"/>
      <c r="E31" s="1"/>
    </row>
    <row r="32" spans="1:5">
      <c r="A32" t="s">
        <v>40</v>
      </c>
      <c r="B32" s="1"/>
      <c r="C32" s="1"/>
      <c r="D32" s="1"/>
      <c r="E32" s="1"/>
    </row>
    <row r="33" spans="1:1">
      <c r="A33" t="s">
        <v>41</v>
      </c>
    </row>
    <row r="34" spans="1:1">
      <c r="A34" t="s">
        <v>68</v>
      </c>
    </row>
    <row r="35" spans="1:1">
      <c r="A35" t="s">
        <v>42</v>
      </c>
    </row>
    <row r="36" spans="1:1">
      <c r="A36" t="s">
        <v>43</v>
      </c>
    </row>
    <row r="37" spans="1:1">
      <c r="A37" t="s">
        <v>167</v>
      </c>
    </row>
    <row r="38" spans="1:1">
      <c r="A38" t="s">
        <v>168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84BD-CB73-4635-8B03-11F5D5C3DF7C}">
  <dimension ref="A1:F2"/>
  <sheetViews>
    <sheetView workbookViewId="0">
      <selection activeCell="A3" sqref="A3"/>
    </sheetView>
  </sheetViews>
  <sheetFormatPr defaultRowHeight="14.25"/>
  <cols>
    <col min="39" max="39" width="14.06640625" bestFit="1" customWidth="1"/>
  </cols>
  <sheetData>
    <row r="1" spans="1:6">
      <c r="A1" t="s">
        <v>183</v>
      </c>
      <c r="E1" s="8"/>
      <c r="F1" s="8"/>
    </row>
    <row r="2" spans="1:6">
      <c r="A2" t="s">
        <v>25</v>
      </c>
      <c r="B2" t="s">
        <v>184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9719E-8A60-4BBE-A5F9-5A66971B39D0}">
  <dimension ref="A1:C53"/>
  <sheetViews>
    <sheetView workbookViewId="0">
      <selection activeCell="A52" sqref="A52"/>
    </sheetView>
  </sheetViews>
  <sheetFormatPr defaultRowHeight="14.25"/>
  <cols>
    <col min="1" max="1" width="21.265625" customWidth="1"/>
    <col min="2" max="2" width="50.1328125" customWidth="1"/>
  </cols>
  <sheetData>
    <row r="1" spans="1:3">
      <c r="A1" s="7" t="s">
        <v>9</v>
      </c>
      <c r="B1" s="1" t="s">
        <v>6</v>
      </c>
      <c r="C1" t="s">
        <v>393</v>
      </c>
    </row>
    <row r="2" spans="1:3">
      <c r="A2" s="7" t="s">
        <v>10</v>
      </c>
      <c r="B2" s="1" t="s">
        <v>6</v>
      </c>
      <c r="C2" t="s">
        <v>394</v>
      </c>
    </row>
    <row r="3" spans="1:3">
      <c r="A3" s="8" t="s">
        <v>17</v>
      </c>
      <c r="B3" s="1" t="s">
        <v>8</v>
      </c>
      <c r="C3" t="s">
        <v>395</v>
      </c>
    </row>
    <row r="4" spans="1:3">
      <c r="A4" s="8" t="s">
        <v>49</v>
      </c>
      <c r="B4" s="1" t="s">
        <v>8</v>
      </c>
      <c r="C4" t="s">
        <v>396</v>
      </c>
    </row>
    <row r="5" spans="1:3">
      <c r="A5" t="s">
        <v>18</v>
      </c>
      <c r="B5" s="1" t="s">
        <v>6</v>
      </c>
      <c r="C5" t="s">
        <v>397</v>
      </c>
    </row>
    <row r="6" spans="1:3">
      <c r="A6" t="s">
        <v>19</v>
      </c>
      <c r="B6" s="1" t="s">
        <v>8</v>
      </c>
      <c r="C6" t="s">
        <v>398</v>
      </c>
    </row>
    <row r="7" spans="1:3">
      <c r="A7" t="s">
        <v>20</v>
      </c>
      <c r="B7" s="1" t="s">
        <v>8</v>
      </c>
      <c r="C7" t="s">
        <v>399</v>
      </c>
    </row>
    <row r="8" spans="1:3">
      <c r="A8" t="s">
        <v>21</v>
      </c>
      <c r="B8" s="1" t="s">
        <v>6</v>
      </c>
      <c r="C8" t="s">
        <v>400</v>
      </c>
    </row>
    <row r="9" spans="1:3">
      <c r="A9" t="s">
        <v>22</v>
      </c>
      <c r="B9" s="1" t="s">
        <v>6</v>
      </c>
      <c r="C9" t="s">
        <v>401</v>
      </c>
    </row>
    <row r="10" spans="1:3">
      <c r="A10" t="s">
        <v>25</v>
      </c>
      <c r="B10" s="1" t="s">
        <v>6</v>
      </c>
      <c r="C10" t="s">
        <v>402</v>
      </c>
    </row>
    <row r="11" spans="1:3">
      <c r="A11" t="s">
        <v>26</v>
      </c>
      <c r="B11" s="1" t="s">
        <v>6</v>
      </c>
      <c r="C11" t="s">
        <v>403</v>
      </c>
    </row>
    <row r="12" spans="1:3">
      <c r="A12" t="s">
        <v>27</v>
      </c>
      <c r="B12" s="1" t="s">
        <v>6</v>
      </c>
      <c r="C12" t="s">
        <v>404</v>
      </c>
    </row>
    <row r="13" spans="1:3">
      <c r="A13" t="s">
        <v>28</v>
      </c>
      <c r="B13" s="1" t="s">
        <v>8</v>
      </c>
      <c r="C13" t="s">
        <v>405</v>
      </c>
    </row>
    <row r="14" spans="1:3">
      <c r="A14" t="s">
        <v>54</v>
      </c>
      <c r="B14" s="1" t="s">
        <v>6</v>
      </c>
      <c r="C14" t="s">
        <v>406</v>
      </c>
    </row>
    <row r="15" spans="1:3">
      <c r="A15" t="s">
        <v>15</v>
      </c>
      <c r="B15" s="1" t="s">
        <v>190</v>
      </c>
      <c r="C15" t="s">
        <v>407</v>
      </c>
    </row>
    <row r="16" spans="1:3">
      <c r="A16" t="s">
        <v>23</v>
      </c>
      <c r="B16" s="1" t="s">
        <v>6</v>
      </c>
      <c r="C16" t="s">
        <v>408</v>
      </c>
    </row>
    <row r="17" spans="1:3">
      <c r="A17" t="s">
        <v>24</v>
      </c>
      <c r="B17" s="1" t="s">
        <v>6</v>
      </c>
      <c r="C17" t="s">
        <v>409</v>
      </c>
    </row>
    <row r="18" spans="1:3">
      <c r="A18" t="s">
        <v>58</v>
      </c>
      <c r="B18" s="1" t="s">
        <v>6</v>
      </c>
      <c r="C18" t="s">
        <v>410</v>
      </c>
    </row>
    <row r="19" spans="1:3">
      <c r="A19" t="s">
        <v>59</v>
      </c>
      <c r="B19" s="1" t="s">
        <v>6</v>
      </c>
      <c r="C19" t="s">
        <v>411</v>
      </c>
    </row>
    <row r="20" spans="1:3">
      <c r="A20" t="s">
        <v>30</v>
      </c>
      <c r="B20" s="1" t="s">
        <v>6</v>
      </c>
      <c r="C20" t="s">
        <v>412</v>
      </c>
    </row>
    <row r="21" spans="1:3">
      <c r="A21" t="s">
        <v>31</v>
      </c>
      <c r="B21" s="1" t="s">
        <v>8</v>
      </c>
      <c r="C21" t="s">
        <v>413</v>
      </c>
    </row>
    <row r="22" spans="1:3">
      <c r="A22" t="s">
        <v>37</v>
      </c>
      <c r="B22" s="1" t="s">
        <v>207</v>
      </c>
      <c r="C22" t="s">
        <v>414</v>
      </c>
    </row>
    <row r="23" spans="1:3">
      <c r="A23" t="s">
        <v>60</v>
      </c>
      <c r="B23" s="1" t="s">
        <v>190</v>
      </c>
      <c r="C23" t="s">
        <v>415</v>
      </c>
    </row>
    <row r="24" spans="1:3">
      <c r="A24" t="s">
        <v>32</v>
      </c>
      <c r="B24" s="1" t="s">
        <v>207</v>
      </c>
      <c r="C24" t="s">
        <v>416</v>
      </c>
    </row>
    <row r="25" spans="1:3">
      <c r="A25" t="s">
        <v>33</v>
      </c>
      <c r="B25" s="1" t="s">
        <v>207</v>
      </c>
      <c r="C25" t="s">
        <v>417</v>
      </c>
    </row>
    <row r="26" spans="1:3">
      <c r="A26" t="s">
        <v>61</v>
      </c>
      <c r="B26" s="1" t="s">
        <v>207</v>
      </c>
      <c r="C26" t="s">
        <v>418</v>
      </c>
    </row>
    <row r="27" spans="1:3">
      <c r="A27" t="s">
        <v>62</v>
      </c>
      <c r="B27" s="1" t="s">
        <v>207</v>
      </c>
      <c r="C27" t="s">
        <v>419</v>
      </c>
    </row>
    <row r="28" spans="1:3">
      <c r="A28" t="s">
        <v>63</v>
      </c>
      <c r="B28" s="1" t="s">
        <v>207</v>
      </c>
      <c r="C28" t="s">
        <v>420</v>
      </c>
    </row>
    <row r="29" spans="1:3">
      <c r="A29" t="s">
        <v>35</v>
      </c>
      <c r="B29" s="1" t="s">
        <v>207</v>
      </c>
      <c r="C29" t="s">
        <v>421</v>
      </c>
    </row>
    <row r="30" spans="1:3">
      <c r="A30" t="s">
        <v>38</v>
      </c>
      <c r="B30" t="s">
        <v>207</v>
      </c>
      <c r="C30" t="s">
        <v>422</v>
      </c>
    </row>
    <row r="31" spans="1:3">
      <c r="A31" t="s">
        <v>64</v>
      </c>
      <c r="B31" s="1" t="s">
        <v>8</v>
      </c>
      <c r="C31" t="s">
        <v>423</v>
      </c>
    </row>
    <row r="32" spans="1:3">
      <c r="A32" t="s">
        <v>34</v>
      </c>
      <c r="B32" s="1" t="s">
        <v>8</v>
      </c>
      <c r="C32" t="s">
        <v>424</v>
      </c>
    </row>
    <row r="33" spans="1:3">
      <c r="A33" t="s">
        <v>36</v>
      </c>
      <c r="B33" s="1" t="s">
        <v>207</v>
      </c>
      <c r="C33" t="s">
        <v>425</v>
      </c>
    </row>
    <row r="34" spans="1:3">
      <c r="A34" t="s">
        <v>65</v>
      </c>
      <c r="B34" s="1" t="s">
        <v>196</v>
      </c>
      <c r="C34" t="s">
        <v>426</v>
      </c>
    </row>
    <row r="35" spans="1:3">
      <c r="A35" t="s">
        <v>44</v>
      </c>
      <c r="B35" s="1" t="s">
        <v>8</v>
      </c>
      <c r="C35" t="s">
        <v>427</v>
      </c>
    </row>
    <row r="36" spans="1:3">
      <c r="A36" t="s">
        <v>66</v>
      </c>
      <c r="B36" s="1" t="s">
        <v>8</v>
      </c>
      <c r="C36" t="s">
        <v>428</v>
      </c>
    </row>
    <row r="37" spans="1:3">
      <c r="A37" t="s">
        <v>39</v>
      </c>
      <c r="B37" s="1" t="s">
        <v>8</v>
      </c>
      <c r="C37" t="s">
        <v>429</v>
      </c>
    </row>
    <row r="38" spans="1:3">
      <c r="A38" t="s">
        <v>67</v>
      </c>
      <c r="B38" s="1" t="s">
        <v>8</v>
      </c>
      <c r="C38" t="s">
        <v>430</v>
      </c>
    </row>
    <row r="39" spans="1:3">
      <c r="A39" t="s">
        <v>40</v>
      </c>
      <c r="B39" s="1" t="s">
        <v>8</v>
      </c>
      <c r="C39" t="s">
        <v>431</v>
      </c>
    </row>
    <row r="40" spans="1:3">
      <c r="A40" t="s">
        <v>41</v>
      </c>
      <c r="B40" s="1" t="s">
        <v>8</v>
      </c>
      <c r="C40" t="s">
        <v>432</v>
      </c>
    </row>
    <row r="41" spans="1:3">
      <c r="A41" t="s">
        <v>68</v>
      </c>
      <c r="B41" s="1" t="s">
        <v>8</v>
      </c>
      <c r="C41" t="s">
        <v>433</v>
      </c>
    </row>
    <row r="42" spans="1:3">
      <c r="A42" t="s">
        <v>42</v>
      </c>
      <c r="B42" s="1" t="s">
        <v>8</v>
      </c>
      <c r="C42" t="s">
        <v>434</v>
      </c>
    </row>
    <row r="43" spans="1:3">
      <c r="A43" t="s">
        <v>43</v>
      </c>
      <c r="B43" s="1" t="s">
        <v>8</v>
      </c>
      <c r="C43" t="s">
        <v>435</v>
      </c>
    </row>
    <row r="44" spans="1:3">
      <c r="A44" t="s">
        <v>69</v>
      </c>
      <c r="B44" s="1" t="s">
        <v>8</v>
      </c>
      <c r="C44" t="s">
        <v>436</v>
      </c>
    </row>
    <row r="45" spans="1:3">
      <c r="A45" t="s">
        <v>70</v>
      </c>
      <c r="B45" s="1" t="s">
        <v>207</v>
      </c>
      <c r="C45" t="s">
        <v>437</v>
      </c>
    </row>
    <row r="46" spans="1:3">
      <c r="A46" t="s">
        <v>71</v>
      </c>
      <c r="B46" s="1" t="s">
        <v>207</v>
      </c>
      <c r="C46" t="s">
        <v>438</v>
      </c>
    </row>
    <row r="47" spans="1:3">
      <c r="A47" t="s">
        <v>74</v>
      </c>
      <c r="B47" s="1" t="s">
        <v>196</v>
      </c>
      <c r="C47" t="s">
        <v>439</v>
      </c>
    </row>
    <row r="48" spans="1:3">
      <c r="A48" t="s">
        <v>75</v>
      </c>
      <c r="B48" s="1" t="s">
        <v>6</v>
      </c>
      <c r="C48" t="s">
        <v>440</v>
      </c>
    </row>
    <row r="52" spans="1:1">
      <c r="A52" t="s">
        <v>441</v>
      </c>
    </row>
    <row r="53" spans="1:1">
      <c r="A53" t="s">
        <v>442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Columns_description</vt:lpstr>
      <vt:lpstr>profiling_checks</vt:lpstr>
      <vt:lpstr>Business_rules</vt:lpstr>
      <vt:lpstr>Data_quality_issues</vt:lpstr>
      <vt:lpstr>tmp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 Yasser</dc:creator>
  <cp:lastModifiedBy>Rahma Yasser</cp:lastModifiedBy>
  <dcterms:created xsi:type="dcterms:W3CDTF">2025-10-10T17:53:22Z</dcterms:created>
  <dcterms:modified xsi:type="dcterms:W3CDTF">2025-12-01T21:13:51Z</dcterms:modified>
</cp:coreProperties>
</file>